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Chapter 8 Generic Model" sheetId="5" r:id="rId1"/>
    <sheet name="OpenSolver" sheetId="4" r:id="rId2"/>
  </sheets>
  <definedNames>
    <definedName name="solver_adj" localSheetId="1" hidden="1">OpenSolver!$B$73:$B$80,OpenSolver!$B$82:$B$85,OpenSolver!$B$87:$B$94,OpenSolver!$B$96:$B$103,OpenSolver!$B$105:$B$106,OpenSolver!$B$108:$B$109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OpenSolver!$F$51</definedName>
    <definedName name="solver_lhs10" localSheetId="1" hidden="1">OpenSolver!$F$66</definedName>
    <definedName name="solver_lhs11" localSheetId="1" hidden="1">OpenSolver!$F$67</definedName>
    <definedName name="solver_lhs12" localSheetId="1" hidden="1">OpenSolver!$F$68</definedName>
    <definedName name="solver_lhs13" localSheetId="1" hidden="1">OpenSolver!$F$72</definedName>
    <definedName name="solver_lhs14" localSheetId="1" hidden="1">OpenSolver!$F$73</definedName>
    <definedName name="solver_lhs15" localSheetId="1" hidden="1">OpenSolver!$F$77</definedName>
    <definedName name="solver_lhs16" localSheetId="1" hidden="1">OpenSolver!$F$78</definedName>
    <definedName name="solver_lhs17" localSheetId="1" hidden="1">OpenSolver!$F$79</definedName>
    <definedName name="solver_lhs18" localSheetId="1" hidden="1">OpenSolver!$F$80</definedName>
    <definedName name="solver_lhs19" localSheetId="1" hidden="1">OpenSolver!$F$84</definedName>
    <definedName name="solver_lhs2" localSheetId="1" hidden="1">OpenSolver!$F$52</definedName>
    <definedName name="solver_lhs20" localSheetId="1" hidden="1">OpenSolver!$F$85</definedName>
    <definedName name="solver_lhs21" localSheetId="1" hidden="1">OpenSolver!$B$73:$B$80</definedName>
    <definedName name="solver_lhs22" localSheetId="1" hidden="1">OpenSolver!$B$82:$B$85</definedName>
    <definedName name="solver_lhs23" localSheetId="1" hidden="1">OpenSolver!$B$87:$B$94</definedName>
    <definedName name="solver_lhs24" localSheetId="1" hidden="1">OpenSolver!$B$96:$B$103</definedName>
    <definedName name="solver_lhs25" localSheetId="1" hidden="1">OpenSolver!$B$105:$B$106</definedName>
    <definedName name="solver_lhs26" localSheetId="1" hidden="1">OpenSolver!$B$108:$B$109</definedName>
    <definedName name="solver_lhs3" localSheetId="1" hidden="1">OpenSolver!$F$53</definedName>
    <definedName name="solver_lhs4" localSheetId="1" hidden="1">OpenSolver!$F$54</definedName>
    <definedName name="solver_lhs5" localSheetId="1" hidden="1">OpenSolver!$F$58</definedName>
    <definedName name="solver_lhs6" localSheetId="1" hidden="1">OpenSolver!$F$59</definedName>
    <definedName name="solver_lhs7" localSheetId="1" hidden="1">OpenSolver!$F$60</definedName>
    <definedName name="solver_lhs8" localSheetId="1" hidden="1">OpenSolver!$F$61</definedName>
    <definedName name="solver_lhs9" localSheetId="1" hidden="1">OpenSolver!$F$65</definedName>
    <definedName name="solver_lin" localSheetId="1" hidden="1">1</definedName>
    <definedName name="solver_neg" localSheetId="1" hidden="1">1</definedName>
    <definedName name="solver_num" localSheetId="1" hidden="1">26</definedName>
    <definedName name="solver_nwt" localSheetId="1" hidden="1">1</definedName>
    <definedName name="solver_opt" localSheetId="1" hidden="1">OpenSolver!$F$45</definedName>
    <definedName name="solver_pre" localSheetId="1" hidden="1">0.000001</definedName>
    <definedName name="solver_rel1" localSheetId="1" hidden="1">1</definedName>
    <definedName name="solver_rel10" localSheetId="1" hidden="1">1</definedName>
    <definedName name="solver_rel11" localSheetId="1" hidden="1">1</definedName>
    <definedName name="solver_rel12" localSheetId="1" hidden="1">1</definedName>
    <definedName name="solver_rel13" localSheetId="1" hidden="1">1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1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5</definedName>
    <definedName name="solver_rel26" localSheetId="1" hidden="1">5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1</definedName>
    <definedName name="solver_rhs1" localSheetId="1" hidden="1">OpenSolver!$G$51</definedName>
    <definedName name="solver_rhs10" localSheetId="1" hidden="1">OpenSolver!$G$66</definedName>
    <definedName name="solver_rhs11" localSheetId="1" hidden="1">OpenSolver!$G$67</definedName>
    <definedName name="solver_rhs12" localSheetId="1" hidden="1">OpenSolver!$G$68</definedName>
    <definedName name="solver_rhs13" localSheetId="1" hidden="1">OpenSolver!$G$72</definedName>
    <definedName name="solver_rhs14" localSheetId="1" hidden="1">OpenSolver!$G$73</definedName>
    <definedName name="solver_rhs15" localSheetId="1" hidden="1">OpenSolver!$G$77</definedName>
    <definedName name="solver_rhs16" localSheetId="1" hidden="1">OpenSolver!$G$78</definedName>
    <definedName name="solver_rhs17" localSheetId="1" hidden="1">OpenSolver!$G$79</definedName>
    <definedName name="solver_rhs18" localSheetId="1" hidden="1">OpenSolver!$G$80</definedName>
    <definedName name="solver_rhs19" localSheetId="1" hidden="1">OpenSolver!$G$84</definedName>
    <definedName name="solver_rhs2" localSheetId="1" hidden="1">OpenSolver!$G$52</definedName>
    <definedName name="solver_rhs20" localSheetId="1" hidden="1">OpenSolver!$G$85</definedName>
    <definedName name="solver_rhs21" localSheetId="1" hidden="1">1</definedName>
    <definedName name="solver_rhs22" localSheetId="1" hidden="1">1</definedName>
    <definedName name="solver_rhs23" localSheetId="1" hidden="1">1</definedName>
    <definedName name="solver_rhs24" localSheetId="1" hidden="1">1</definedName>
    <definedName name="solver_rhs25" localSheetId="1" hidden="1">binary</definedName>
    <definedName name="solver_rhs26" localSheetId="1" hidden="1">binary</definedName>
    <definedName name="solver_rhs3" localSheetId="1" hidden="1">OpenSolver!$G$53</definedName>
    <definedName name="solver_rhs4" localSheetId="1" hidden="1">OpenSolver!$G$54</definedName>
    <definedName name="solver_rhs5" localSheetId="1" hidden="1">OpenSolver!$G$58</definedName>
    <definedName name="solver_rhs6" localSheetId="1" hidden="1">OpenSolver!$G$59</definedName>
    <definedName name="solver_rhs7" localSheetId="1" hidden="1">OpenSolver!$G$60</definedName>
    <definedName name="solver_rhs8" localSheetId="1" hidden="1">OpenSolver!$G$61</definedName>
    <definedName name="solver_rhs9" localSheetId="1" hidden="1">OpenSolver!$G$65</definedName>
    <definedName name="solver_scl" localSheetId="1" hidden="1">2</definedName>
    <definedName name="solver_sho" localSheetId="1" hidden="1">2</definedName>
    <definedName name="solver_tim" localSheetId="1" hidden="1">9999999999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4525" calcMode="manual"/>
</workbook>
</file>

<file path=xl/calcChain.xml><?xml version="1.0" encoding="utf-8"?>
<calcChain xmlns="http://schemas.openxmlformats.org/spreadsheetml/2006/main">
  <c r="F95" i="4" l="1"/>
  <c r="F94" i="4"/>
  <c r="F90" i="4"/>
  <c r="F89" i="4"/>
  <c r="G85" i="4"/>
  <c r="G84" i="4"/>
  <c r="F85" i="4"/>
  <c r="F84" i="4"/>
  <c r="G80" i="4"/>
  <c r="G79" i="4"/>
  <c r="G78" i="4"/>
  <c r="G77" i="4"/>
  <c r="F80" i="4"/>
  <c r="F79" i="4"/>
  <c r="F78" i="4"/>
  <c r="F77" i="4"/>
  <c r="G73" i="4"/>
  <c r="G72" i="4"/>
  <c r="F73" i="4"/>
  <c r="F72" i="4"/>
  <c r="G68" i="4"/>
  <c r="G67" i="4"/>
  <c r="G66" i="4"/>
  <c r="G65" i="4"/>
  <c r="F68" i="4"/>
  <c r="F67" i="4"/>
  <c r="F66" i="4"/>
  <c r="F65" i="4"/>
  <c r="G61" i="4"/>
  <c r="G60" i="4"/>
  <c r="G59" i="4"/>
  <c r="G58" i="4"/>
  <c r="F61" i="4"/>
  <c r="F60" i="4"/>
  <c r="F59" i="4"/>
  <c r="F58" i="4"/>
  <c r="G54" i="4"/>
  <c r="G53" i="4"/>
  <c r="G52" i="4"/>
  <c r="G51" i="4"/>
  <c r="F54" i="4"/>
  <c r="F53" i="4"/>
  <c r="F52" i="4"/>
  <c r="F51" i="4"/>
  <c r="H51" i="4" s="1"/>
  <c r="F34" i="4"/>
  <c r="F33" i="4"/>
  <c r="F32" i="4"/>
  <c r="F31" i="4"/>
  <c r="F30" i="4"/>
  <c r="F29" i="4"/>
  <c r="F43" i="4"/>
  <c r="F42" i="4"/>
  <c r="F39" i="4"/>
  <c r="F38" i="4"/>
  <c r="F35" i="4"/>
  <c r="F28" i="4"/>
  <c r="F25" i="4"/>
  <c r="F24" i="4"/>
  <c r="F23" i="4"/>
  <c r="F22" i="4"/>
  <c r="F21" i="4"/>
  <c r="F20" i="4"/>
  <c r="F19" i="4"/>
  <c r="F18" i="4"/>
  <c r="F15" i="4"/>
  <c r="F14" i="4"/>
  <c r="F13" i="4"/>
  <c r="F12" i="4"/>
  <c r="F11" i="4"/>
  <c r="F10" i="4"/>
  <c r="F9" i="4"/>
  <c r="F8" i="4"/>
  <c r="F5" i="4"/>
  <c r="F4" i="4"/>
  <c r="F3" i="4"/>
  <c r="F2" i="4"/>
  <c r="H65" i="4" l="1"/>
  <c r="H52" i="4"/>
  <c r="H73" i="4"/>
  <c r="H79" i="4"/>
  <c r="H58" i="4"/>
  <c r="H59" i="4"/>
  <c r="H66" i="4"/>
  <c r="H77" i="4"/>
  <c r="H53" i="4"/>
  <c r="F37" i="4"/>
  <c r="H78" i="4"/>
  <c r="H80" i="4"/>
  <c r="H72" i="4"/>
  <c r="H54" i="4"/>
  <c r="H60" i="4"/>
  <c r="H67" i="4"/>
  <c r="H61" i="4"/>
  <c r="H68" i="4"/>
  <c r="F7" i="4"/>
  <c r="F17" i="4"/>
  <c r="F27" i="4"/>
  <c r="F1" i="4"/>
  <c r="F41" i="4"/>
  <c r="F45" i="4" l="1"/>
</calcChain>
</file>

<file path=xl/sharedStrings.xml><?xml version="1.0" encoding="utf-8"?>
<sst xmlns="http://schemas.openxmlformats.org/spreadsheetml/2006/main" count="158" uniqueCount="126">
  <si>
    <t>i</t>
  </si>
  <si>
    <t>j</t>
  </si>
  <si>
    <t>k</t>
  </si>
  <si>
    <t>s</t>
  </si>
  <si>
    <t>m</t>
  </si>
  <si>
    <t>n</t>
  </si>
  <si>
    <t>W1</t>
  </si>
  <si>
    <t>W2</t>
  </si>
  <si>
    <t>U1</t>
  </si>
  <si>
    <t>U2</t>
  </si>
  <si>
    <t>Indices</t>
  </si>
  <si>
    <t>Parameters</t>
  </si>
  <si>
    <t>h1</t>
  </si>
  <si>
    <t>h2</t>
  </si>
  <si>
    <t>f1_1</t>
  </si>
  <si>
    <t>f1_2</t>
  </si>
  <si>
    <t>f2_1</t>
  </si>
  <si>
    <t>f2_2</t>
  </si>
  <si>
    <t>P</t>
  </si>
  <si>
    <t>Decision Variables</t>
  </si>
  <si>
    <t>d11</t>
  </si>
  <si>
    <t>d12</t>
  </si>
  <si>
    <t>d21</t>
  </si>
  <si>
    <t>d22</t>
  </si>
  <si>
    <t>Gama1</t>
  </si>
  <si>
    <t>Gama2</t>
  </si>
  <si>
    <t>Delta11</t>
  </si>
  <si>
    <t>Delta12</t>
  </si>
  <si>
    <t>Delta21</t>
  </si>
  <si>
    <t>Delta22</t>
  </si>
  <si>
    <t>Omega11</t>
  </si>
  <si>
    <t>Omega12</t>
  </si>
  <si>
    <t>Omega21</t>
  </si>
  <si>
    <t>Omega22</t>
  </si>
  <si>
    <t>Lambda11</t>
  </si>
  <si>
    <t>Lambda12</t>
  </si>
  <si>
    <t>Lambda21</t>
  </si>
  <si>
    <t>Lambda22</t>
  </si>
  <si>
    <t>r11</t>
  </si>
  <si>
    <t>r12</t>
  </si>
  <si>
    <t>r21</t>
  </si>
  <si>
    <t>r22</t>
  </si>
  <si>
    <t>t1_111</t>
  </si>
  <si>
    <t>t1_112</t>
  </si>
  <si>
    <t>t1_121</t>
  </si>
  <si>
    <t>t1_122</t>
  </si>
  <si>
    <t>t1_211</t>
  </si>
  <si>
    <t>t1_212</t>
  </si>
  <si>
    <t>t1_221</t>
  </si>
  <si>
    <t>t1_222</t>
  </si>
  <si>
    <t>t2_111</t>
  </si>
  <si>
    <t>t2_112</t>
  </si>
  <si>
    <t>t2_121</t>
  </si>
  <si>
    <t>t2_122</t>
  </si>
  <si>
    <t>t2_211</t>
  </si>
  <si>
    <t>t2_212</t>
  </si>
  <si>
    <t>t2_221</t>
  </si>
  <si>
    <t>t2_222</t>
  </si>
  <si>
    <t>t3_11</t>
  </si>
  <si>
    <t>t3_12</t>
  </si>
  <si>
    <t>t3_21</t>
  </si>
  <si>
    <t>t3_22</t>
  </si>
  <si>
    <t>X111</t>
  </si>
  <si>
    <t>X112</t>
  </si>
  <si>
    <t>X121</t>
  </si>
  <si>
    <t>X122</t>
  </si>
  <si>
    <t>X211</t>
  </si>
  <si>
    <t>X212</t>
  </si>
  <si>
    <t>X221</t>
  </si>
  <si>
    <t>X222</t>
  </si>
  <si>
    <t>Q11</t>
  </si>
  <si>
    <t>Q12</t>
  </si>
  <si>
    <t>Q21</t>
  </si>
  <si>
    <t>Q22</t>
  </si>
  <si>
    <t>Y111</t>
  </si>
  <si>
    <t>Y112</t>
  </si>
  <si>
    <t>Y121</t>
  </si>
  <si>
    <t>Y122</t>
  </si>
  <si>
    <t>Y211</t>
  </si>
  <si>
    <t>Y212</t>
  </si>
  <si>
    <t>Y221</t>
  </si>
  <si>
    <t>Y222</t>
  </si>
  <si>
    <t>V111</t>
  </si>
  <si>
    <t>V112</t>
  </si>
  <si>
    <t>V121</t>
  </si>
  <si>
    <t>V122</t>
  </si>
  <si>
    <t>V211</t>
  </si>
  <si>
    <t>V212</t>
  </si>
  <si>
    <t>V221</t>
  </si>
  <si>
    <t>V222</t>
  </si>
  <si>
    <t>Lamdba*Q(I, K)</t>
  </si>
  <si>
    <t>1,1</t>
  </si>
  <si>
    <t>1,2</t>
  </si>
  <si>
    <t>2,1</t>
  </si>
  <si>
    <t>2,2</t>
  </si>
  <si>
    <t>(Omega+t1)*V (jsk)</t>
  </si>
  <si>
    <t>1,1,1</t>
  </si>
  <si>
    <t>1,1,2</t>
  </si>
  <si>
    <t>1,2,1</t>
  </si>
  <si>
    <t>1,2,2</t>
  </si>
  <si>
    <t>2,1,1</t>
  </si>
  <si>
    <t>2,1,2</t>
  </si>
  <si>
    <t>2,2,1</t>
  </si>
  <si>
    <t>2,2,2</t>
  </si>
  <si>
    <t>t2*y(Ikm)</t>
  </si>
  <si>
    <t>(r+t3)*X (imn)</t>
  </si>
  <si>
    <t>f1*W(k)</t>
  </si>
  <si>
    <t>f2*U(m)</t>
  </si>
  <si>
    <t>TC</t>
  </si>
  <si>
    <t>constraint 8.2</t>
  </si>
  <si>
    <t>sigma x &lt;=d (in)</t>
  </si>
  <si>
    <t>sigma x &lt;= sigma y(im)</t>
  </si>
  <si>
    <t>constraint 8.3</t>
  </si>
  <si>
    <t>constraint 8.4</t>
  </si>
  <si>
    <t>constraint 8.5</t>
  </si>
  <si>
    <t>sigma gama*Q&lt;=h*W (k)</t>
  </si>
  <si>
    <t>sigma y &lt;= Q (ik)</t>
  </si>
  <si>
    <t>constraint 8.6</t>
  </si>
  <si>
    <t>sigma delta*Q &lt;= sigma V (jk)</t>
  </si>
  <si>
    <t>constraint 8.7</t>
  </si>
  <si>
    <t>sigma sigma x &lt; P*U (m)</t>
  </si>
  <si>
    <t>w is binary</t>
  </si>
  <si>
    <t>U is binary</t>
  </si>
  <si>
    <t>constraint 8.8 - part1 (k)</t>
  </si>
  <si>
    <t>constraint 8.8 - part2 (m)</t>
  </si>
  <si>
    <t>not zearo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</si>
</sst>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93757</xdr:colOff>
      <xdr:row>2</xdr:row>
      <xdr:rowOff>161925</xdr:rowOff>
    </xdr:from>
    <xdr:to>
      <xdr:col>7</xdr:col>
      <xdr:colOff>479182</xdr:colOff>
      <xdr:row>9</xdr:row>
      <xdr:rowOff>74002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2957" y="542925"/>
          <a:ext cx="3433425" cy="1245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93052</xdr:colOff>
      <xdr:row>34</xdr:row>
      <xdr:rowOff>132048</xdr:rowOff>
    </xdr:from>
    <xdr:to>
      <xdr:col>11</xdr:col>
      <xdr:colOff>490171</xdr:colOff>
      <xdr:row>39</xdr:row>
      <xdr:rowOff>124012</xdr:rowOff>
    </xdr:to>
    <xdr:pic>
      <xdr:nvPicPr>
        <xdr:cNvPr id="3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7"/>
        <a:stretch/>
      </xdr:blipFill>
      <xdr:spPr bwMode="auto">
        <a:xfrm>
          <a:off x="1312252" y="6609048"/>
          <a:ext cx="5883519" cy="944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85725</xdr:colOff>
      <xdr:row>39</xdr:row>
      <xdr:rowOff>125460</xdr:rowOff>
    </xdr:from>
    <xdr:to>
      <xdr:col>11</xdr:col>
      <xdr:colOff>490172</xdr:colOff>
      <xdr:row>44</xdr:row>
      <xdr:rowOff>117231</xdr:rowOff>
    </xdr:to>
    <xdr:pic>
      <xdr:nvPicPr>
        <xdr:cNvPr id="4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2" r="571"/>
        <a:stretch/>
      </xdr:blipFill>
      <xdr:spPr bwMode="auto">
        <a:xfrm>
          <a:off x="1304925" y="7554960"/>
          <a:ext cx="5890847" cy="9442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93052</xdr:colOff>
      <xdr:row>10</xdr:row>
      <xdr:rowOff>97398</xdr:rowOff>
    </xdr:from>
    <xdr:to>
      <xdr:col>11</xdr:col>
      <xdr:colOff>471855</xdr:colOff>
      <xdr:row>31</xdr:row>
      <xdr:rowOff>189767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2252" y="2002398"/>
          <a:ext cx="5865203" cy="40928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540501</xdr:colOff>
      <xdr:row>29</xdr:row>
      <xdr:rowOff>167484</xdr:rowOff>
    </xdr:from>
    <xdr:to>
      <xdr:col>2</xdr:col>
      <xdr:colOff>581052</xdr:colOff>
      <xdr:row>32</xdr:row>
      <xdr:rowOff>82091</xdr:rowOff>
    </xdr:to>
    <xdr:cxnSp macro="">
      <xdr:nvCxnSpPr>
        <xdr:cNvPr id="6" name="Straight Arrow Connector 5"/>
        <xdr:cNvCxnSpPr>
          <a:stCxn id="7" idx="0"/>
        </xdr:cNvCxnSpPr>
      </xdr:nvCxnSpPr>
      <xdr:spPr>
        <a:xfrm flipH="1" flipV="1">
          <a:off x="1759701" y="5691984"/>
          <a:ext cx="40551" cy="486107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319430</xdr:colOff>
      <xdr:row>32</xdr:row>
      <xdr:rowOff>82091</xdr:rowOff>
    </xdr:from>
    <xdr:to>
      <xdr:col>3</xdr:col>
      <xdr:colOff>230293</xdr:colOff>
      <xdr:row>34</xdr:row>
      <xdr:rowOff>36105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Rectangle 6"/>
            <xdr:cNvSpPr/>
          </xdr:nvSpPr>
          <xdr:spPr>
            <a:xfrm>
              <a:off x="1538630" y="6178091"/>
              <a:ext cx="520463" cy="335014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7" name="Rectangle 6"/>
            <xdr:cNvSpPr/>
          </xdr:nvSpPr>
          <xdr:spPr>
            <a:xfrm>
              <a:off x="1538630" y="6178091"/>
              <a:ext cx="520463" cy="335014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i="0">
                  <a:solidFill>
                    <a:schemeClr val="lt1"/>
                  </a:solidFill>
                  <a:effectLst/>
                  <a:latin typeface="Cambria Math"/>
                  <a:ea typeface="+mn-ea"/>
                  <a:cs typeface="+mn-cs"/>
                </a:rPr>
                <a:t>𝑓_2𝑚</a:t>
              </a:r>
              <a:endParaRPr lang="en-US" sz="1100"/>
            </a:p>
          </xdr:txBody>
        </xdr:sp>
      </mc:Fallback>
    </mc:AlternateContent>
    <xdr:clientData/>
  </xdr:twoCellAnchor>
  <xdr:twoCellAnchor editAs="oneCell">
    <xdr:from>
      <xdr:col>2</xdr:col>
      <xdr:colOff>76200</xdr:colOff>
      <xdr:row>59</xdr:row>
      <xdr:rowOff>66675</xdr:rowOff>
    </xdr:from>
    <xdr:to>
      <xdr:col>12</xdr:col>
      <xdr:colOff>480806</xdr:colOff>
      <xdr:row>83</xdr:row>
      <xdr:rowOff>141633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1306175"/>
          <a:ext cx="6500606" cy="46469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</xdr:colOff>
      <xdr:row>48</xdr:row>
      <xdr:rowOff>161925</xdr:rowOff>
    </xdr:from>
    <xdr:to>
      <xdr:col>11</xdr:col>
      <xdr:colOff>464305</xdr:colOff>
      <xdr:row>56</xdr:row>
      <xdr:rowOff>66675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9305925"/>
          <a:ext cx="587450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</xdr:colOff>
      <xdr:row>46</xdr:row>
      <xdr:rowOff>152400</xdr:rowOff>
    </xdr:from>
    <xdr:to>
      <xdr:col>11</xdr:col>
      <xdr:colOff>464306</xdr:colOff>
      <xdr:row>49</xdr:row>
      <xdr:rowOff>28575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3" r="2677"/>
        <a:stretch/>
      </xdr:blipFill>
      <xdr:spPr bwMode="auto">
        <a:xfrm>
          <a:off x="1295400" y="8915400"/>
          <a:ext cx="5874506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584752</xdr:colOff>
      <xdr:row>67</xdr:row>
      <xdr:rowOff>69162</xdr:rowOff>
    </xdr:from>
    <xdr:to>
      <xdr:col>6</xdr:col>
      <xdr:colOff>97735</xdr:colOff>
      <xdr:row>68</xdr:row>
      <xdr:rowOff>171450</xdr:rowOff>
    </xdr:to>
    <xdr:cxnSp macro="">
      <xdr:nvCxnSpPr>
        <xdr:cNvPr id="11" name="Straight Arrow Connector 10"/>
        <xdr:cNvCxnSpPr>
          <a:stCxn id="14" idx="3"/>
        </xdr:cNvCxnSpPr>
      </xdr:nvCxnSpPr>
      <xdr:spPr>
        <a:xfrm flipV="1">
          <a:off x="2413552" y="12832662"/>
          <a:ext cx="1341783" cy="292788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93594</xdr:colOff>
      <xdr:row>54</xdr:row>
      <xdr:rowOff>126453</xdr:rowOff>
    </xdr:from>
    <xdr:to>
      <xdr:col>6</xdr:col>
      <xdr:colOff>149887</xdr:colOff>
      <xdr:row>55</xdr:row>
      <xdr:rowOff>176834</xdr:rowOff>
    </xdr:to>
    <xdr:cxnSp macro="">
      <xdr:nvCxnSpPr>
        <xdr:cNvPr id="12" name="Straight Arrow Connector 11"/>
        <xdr:cNvCxnSpPr>
          <a:stCxn id="13" idx="0"/>
        </xdr:cNvCxnSpPr>
      </xdr:nvCxnSpPr>
      <xdr:spPr>
        <a:xfrm flipV="1">
          <a:off x="3751194" y="10413453"/>
          <a:ext cx="56293" cy="240881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588065</xdr:colOff>
      <xdr:row>55</xdr:row>
      <xdr:rowOff>176834</xdr:rowOff>
    </xdr:from>
    <xdr:to>
      <xdr:col>7</xdr:col>
      <xdr:colOff>208723</xdr:colOff>
      <xdr:row>58</xdr:row>
      <xdr:rowOff>151986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Rectangle 12"/>
            <xdr:cNvSpPr/>
          </xdr:nvSpPr>
          <xdr:spPr>
            <a:xfrm>
              <a:off x="3026465" y="10654334"/>
              <a:ext cx="1449458" cy="546652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10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/>
                          </a:rPr>
                          <m:t>𝑚</m:t>
                        </m:r>
                        <m:r>
                          <a:rPr lang="en-US" sz="1100" i="1">
                            <a:latin typeface="Cambria Math"/>
                          </a:rPr>
                          <m:t>=</m:t>
                        </m:r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b>
                      <m:sup>
                        <m:r>
                          <a:rPr lang="en-US" sz="1100" b="0" i="1">
                            <a:latin typeface="Cambria Math"/>
                          </a:rPr>
                          <m:t>𝑀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sz="1100" b="0" i="1">
                                <a:latin typeface="Cambria Math"/>
                              </a:rPr>
                              <m:t>𝑚</m:t>
                            </m:r>
                          </m:sub>
                        </m:sSub>
                      </m:e>
                    </m:nary>
                    <m:sSub>
                      <m:sSubPr>
                        <m:ctrlPr>
                          <a:rPr lang="en-US" sz="110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𝑈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3" name="Rectangle 12"/>
            <xdr:cNvSpPr/>
          </xdr:nvSpPr>
          <xdr:spPr>
            <a:xfrm>
              <a:off x="3026465" y="10654334"/>
              <a:ext cx="1449458" cy="546652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i="0">
                  <a:latin typeface="Cambria Math"/>
                </a:rPr>
                <a:t>∑</a:t>
              </a:r>
              <a:r>
                <a:rPr lang="en-US" sz="1100" b="0" i="0">
                  <a:latin typeface="Cambria Math"/>
                </a:rPr>
                <a:t>_(𝑚</a:t>
              </a:r>
              <a:r>
                <a:rPr lang="en-US" sz="110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</a:rPr>
                <a:t>1)^𝑀▒𝑓_2𝑚 </a:t>
              </a:r>
              <a:r>
                <a:rPr lang="en-US" sz="1100" b="0" i="0">
                  <a:solidFill>
                    <a:schemeClr val="lt1"/>
                  </a:solidFill>
                  <a:effectLst/>
                  <a:latin typeface="Cambria Math"/>
                  <a:ea typeface="+mn-ea"/>
                  <a:cs typeface="+mn-cs"/>
                </a:rPr>
                <a:t> 𝑈_𝑚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3</xdr:col>
      <xdr:colOff>112643</xdr:colOff>
      <xdr:row>68</xdr:row>
      <xdr:rowOff>414</xdr:rowOff>
    </xdr:from>
    <xdr:to>
      <xdr:col>3</xdr:col>
      <xdr:colOff>584752</xdr:colOff>
      <xdr:row>69</xdr:row>
      <xdr:rowOff>151985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Rectangle 13"/>
            <xdr:cNvSpPr/>
          </xdr:nvSpPr>
          <xdr:spPr>
            <a:xfrm>
              <a:off x="1941443" y="12954414"/>
              <a:ext cx="472109" cy="34207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𝑖𝑚𝑛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4" name="Rectangle 13"/>
            <xdr:cNvSpPr/>
          </xdr:nvSpPr>
          <xdr:spPr>
            <a:xfrm>
              <a:off x="1941443" y="12954414"/>
              <a:ext cx="472109" cy="34207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i="0">
                  <a:solidFill>
                    <a:schemeClr val="lt1"/>
                  </a:solidFill>
                  <a:effectLst/>
                  <a:latin typeface="Cambria Math"/>
                  <a:ea typeface="+mn-ea"/>
                  <a:cs typeface="+mn-cs"/>
                </a:rPr>
                <a:t>𝑋_𝑖𝑚𝑛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7</xdr:col>
      <xdr:colOff>192157</xdr:colOff>
      <xdr:row>64</xdr:row>
      <xdr:rowOff>11182</xdr:rowOff>
    </xdr:from>
    <xdr:to>
      <xdr:col>8</xdr:col>
      <xdr:colOff>207477</xdr:colOff>
      <xdr:row>64</xdr:row>
      <xdr:rowOff>181532</xdr:rowOff>
    </xdr:to>
    <xdr:cxnSp macro="">
      <xdr:nvCxnSpPr>
        <xdr:cNvPr id="15" name="Straight Arrow Connector 14"/>
        <xdr:cNvCxnSpPr>
          <a:stCxn id="16" idx="1"/>
        </xdr:cNvCxnSpPr>
      </xdr:nvCxnSpPr>
      <xdr:spPr>
        <a:xfrm flipH="1" flipV="1">
          <a:off x="4459357" y="12203182"/>
          <a:ext cx="624920" cy="1703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207477</xdr:colOff>
      <xdr:row>64</xdr:row>
      <xdr:rowOff>10496</xdr:rowOff>
    </xdr:from>
    <xdr:to>
      <xdr:col>9</xdr:col>
      <xdr:colOff>69986</xdr:colOff>
      <xdr:row>65</xdr:row>
      <xdr:rowOff>162067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Rectangle 15"/>
            <xdr:cNvSpPr/>
          </xdr:nvSpPr>
          <xdr:spPr>
            <a:xfrm>
              <a:off x="5084277" y="12202496"/>
              <a:ext cx="472109" cy="34207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lt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6" name="Rectangle 15"/>
            <xdr:cNvSpPr/>
          </xdr:nvSpPr>
          <xdr:spPr>
            <a:xfrm>
              <a:off x="5084277" y="12202496"/>
              <a:ext cx="472109" cy="34207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i="0">
                  <a:solidFill>
                    <a:schemeClr val="lt1"/>
                  </a:solidFill>
                  <a:effectLst/>
                  <a:latin typeface="Cambria Math"/>
                  <a:ea typeface="+mn-ea"/>
                  <a:cs typeface="+mn-cs"/>
                </a:rPr>
                <a:t>𝑑_𝑖𝑛</a:t>
              </a:r>
              <a:endParaRPr lang="en-US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2</xdr:col>
      <xdr:colOff>0</xdr:colOff>
      <xdr:row>80</xdr:row>
      <xdr:rowOff>0</xdr:rowOff>
    </xdr:to>
    <xdr:sp macro="" textlink="">
      <xdr:nvSpPr>
        <xdr:cNvPr id="743" name="OpenSolver1"/>
        <xdr:cNvSpPr/>
      </xdr:nvSpPr>
      <xdr:spPr>
        <a:xfrm>
          <a:off x="609600" y="13716000"/>
          <a:ext cx="609600" cy="1524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81</xdr:row>
      <xdr:rowOff>0</xdr:rowOff>
    </xdr:from>
    <xdr:to>
      <xdr:col>2</xdr:col>
      <xdr:colOff>0</xdr:colOff>
      <xdr:row>85</xdr:row>
      <xdr:rowOff>0</xdr:rowOff>
    </xdr:to>
    <xdr:sp macro="" textlink="">
      <xdr:nvSpPr>
        <xdr:cNvPr id="744" name="OpenSolver2"/>
        <xdr:cNvSpPr/>
      </xdr:nvSpPr>
      <xdr:spPr>
        <a:xfrm>
          <a:off x="609600" y="15430500"/>
          <a:ext cx="609600" cy="762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86</xdr:row>
      <xdr:rowOff>0</xdr:rowOff>
    </xdr:from>
    <xdr:to>
      <xdr:col>2</xdr:col>
      <xdr:colOff>0</xdr:colOff>
      <xdr:row>94</xdr:row>
      <xdr:rowOff>0</xdr:rowOff>
    </xdr:to>
    <xdr:sp macro="" textlink="">
      <xdr:nvSpPr>
        <xdr:cNvPr id="745" name="OpenSolver3"/>
        <xdr:cNvSpPr/>
      </xdr:nvSpPr>
      <xdr:spPr>
        <a:xfrm>
          <a:off x="609600" y="16383000"/>
          <a:ext cx="609600" cy="1524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95</xdr:row>
      <xdr:rowOff>0</xdr:rowOff>
    </xdr:from>
    <xdr:to>
      <xdr:col>2</xdr:col>
      <xdr:colOff>0</xdr:colOff>
      <xdr:row>103</xdr:row>
      <xdr:rowOff>0</xdr:rowOff>
    </xdr:to>
    <xdr:sp macro="" textlink="">
      <xdr:nvSpPr>
        <xdr:cNvPr id="746" name="OpenSolver4"/>
        <xdr:cNvSpPr/>
      </xdr:nvSpPr>
      <xdr:spPr>
        <a:xfrm>
          <a:off x="609600" y="18097500"/>
          <a:ext cx="609600" cy="1524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104</xdr:row>
      <xdr:rowOff>0</xdr:rowOff>
    </xdr:from>
    <xdr:to>
      <xdr:col>2</xdr:col>
      <xdr:colOff>0</xdr:colOff>
      <xdr:row>106</xdr:row>
      <xdr:rowOff>0</xdr:rowOff>
    </xdr:to>
    <xdr:sp macro="" textlink="">
      <xdr:nvSpPr>
        <xdr:cNvPr id="747" name="OpenSolver5"/>
        <xdr:cNvSpPr/>
      </xdr:nvSpPr>
      <xdr:spPr>
        <a:xfrm>
          <a:off x="609600" y="198120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107</xdr:row>
      <xdr:rowOff>0</xdr:rowOff>
    </xdr:from>
    <xdr:to>
      <xdr:col>2</xdr:col>
      <xdr:colOff>0</xdr:colOff>
      <xdr:row>109</xdr:row>
      <xdr:rowOff>0</xdr:rowOff>
    </xdr:to>
    <xdr:sp macro="" textlink="">
      <xdr:nvSpPr>
        <xdr:cNvPr id="748" name="OpenSolver6"/>
        <xdr:cNvSpPr/>
      </xdr:nvSpPr>
      <xdr:spPr>
        <a:xfrm>
          <a:off x="609600" y="203835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44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749" name="OpenSolver7"/>
        <xdr:cNvSpPr/>
      </xdr:nvSpPr>
      <xdr:spPr>
        <a:xfrm>
          <a:off x="4219575" y="8382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1765300</xdr:colOff>
      <xdr:row>43</xdr:row>
      <xdr:rowOff>114300</xdr:rowOff>
    </xdr:from>
    <xdr:to>
      <xdr:col>5</xdr:col>
      <xdr:colOff>215214</xdr:colOff>
      <xdr:row>44</xdr:row>
      <xdr:rowOff>50800</xdr:rowOff>
    </xdr:to>
    <xdr:sp macro="" textlink="">
      <xdr:nvSpPr>
        <xdr:cNvPr id="750" name="OpenSolver8"/>
        <xdr:cNvSpPr/>
      </xdr:nvSpPr>
      <xdr:spPr>
        <a:xfrm>
          <a:off x="4203700" y="830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5</xdr:col>
      <xdr:colOff>0</xdr:colOff>
      <xdr:row>50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751" name="OpenSolver9"/>
        <xdr:cNvSpPr/>
      </xdr:nvSpPr>
      <xdr:spPr>
        <a:xfrm>
          <a:off x="4219575" y="9525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7</xdr:col>
      <xdr:colOff>0</xdr:colOff>
      <xdr:row>51</xdr:row>
      <xdr:rowOff>0</xdr:rowOff>
    </xdr:to>
    <xdr:sp macro="" textlink="">
      <xdr:nvSpPr>
        <xdr:cNvPr id="752" name="OpenSolver10"/>
        <xdr:cNvSpPr/>
      </xdr:nvSpPr>
      <xdr:spPr>
        <a:xfrm>
          <a:off x="4829175" y="9525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50</xdr:row>
      <xdr:rowOff>95250</xdr:rowOff>
    </xdr:from>
    <xdr:to>
      <xdr:col>6</xdr:col>
      <xdr:colOff>0</xdr:colOff>
      <xdr:row>50</xdr:row>
      <xdr:rowOff>95250</xdr:rowOff>
    </xdr:to>
    <xdr:cxnSp macro="">
      <xdr:nvCxnSpPr>
        <xdr:cNvPr id="753" name="OpenSolver 11"/>
        <xdr:cNvCxnSpPr>
          <a:stCxn id="751" idx="3"/>
          <a:endCxn id="752" idx="1"/>
        </xdr:cNvCxnSpPr>
      </xdr:nvCxnSpPr>
      <xdr:spPr>
        <a:xfrm>
          <a:off x="4829175" y="96202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49</xdr:row>
      <xdr:rowOff>158750</xdr:rowOff>
    </xdr:from>
    <xdr:to>
      <xdr:col>6</xdr:col>
      <xdr:colOff>190500</xdr:colOff>
      <xdr:row>51</xdr:row>
      <xdr:rowOff>31750</xdr:rowOff>
    </xdr:to>
    <xdr:sp macro="" textlink="">
      <xdr:nvSpPr>
        <xdr:cNvPr id="754" name="OpenSolver 12"/>
        <xdr:cNvSpPr/>
      </xdr:nvSpPr>
      <xdr:spPr>
        <a:xfrm>
          <a:off x="4638675" y="949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755" name="OpenSolver13"/>
        <xdr:cNvSpPr/>
      </xdr:nvSpPr>
      <xdr:spPr>
        <a:xfrm>
          <a:off x="4219575" y="9715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756" name="OpenSolver14"/>
        <xdr:cNvSpPr/>
      </xdr:nvSpPr>
      <xdr:spPr>
        <a:xfrm>
          <a:off x="4829175" y="9715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51</xdr:row>
      <xdr:rowOff>95250</xdr:rowOff>
    </xdr:from>
    <xdr:to>
      <xdr:col>6</xdr:col>
      <xdr:colOff>0</xdr:colOff>
      <xdr:row>51</xdr:row>
      <xdr:rowOff>95250</xdr:rowOff>
    </xdr:to>
    <xdr:cxnSp macro="">
      <xdr:nvCxnSpPr>
        <xdr:cNvPr id="757" name="OpenSolver 15"/>
        <xdr:cNvCxnSpPr>
          <a:stCxn id="755" idx="3"/>
          <a:endCxn id="756" idx="1"/>
        </xdr:cNvCxnSpPr>
      </xdr:nvCxnSpPr>
      <xdr:spPr>
        <a:xfrm>
          <a:off x="4829175" y="98107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50</xdr:row>
      <xdr:rowOff>158750</xdr:rowOff>
    </xdr:from>
    <xdr:to>
      <xdr:col>6</xdr:col>
      <xdr:colOff>190500</xdr:colOff>
      <xdr:row>52</xdr:row>
      <xdr:rowOff>31750</xdr:rowOff>
    </xdr:to>
    <xdr:sp macro="" textlink="">
      <xdr:nvSpPr>
        <xdr:cNvPr id="758" name="OpenSolver 16"/>
        <xdr:cNvSpPr/>
      </xdr:nvSpPr>
      <xdr:spPr>
        <a:xfrm>
          <a:off x="4638675" y="968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759" name="OpenSolver17"/>
        <xdr:cNvSpPr/>
      </xdr:nvSpPr>
      <xdr:spPr>
        <a:xfrm>
          <a:off x="4219575" y="990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</xdr:col>
      <xdr:colOff>0</xdr:colOff>
      <xdr:row>52</xdr:row>
      <xdr:rowOff>0</xdr:rowOff>
    </xdr:from>
    <xdr:to>
      <xdr:col>7</xdr:col>
      <xdr:colOff>0</xdr:colOff>
      <xdr:row>53</xdr:row>
      <xdr:rowOff>0</xdr:rowOff>
    </xdr:to>
    <xdr:sp macro="" textlink="">
      <xdr:nvSpPr>
        <xdr:cNvPr id="760" name="OpenSolver18"/>
        <xdr:cNvSpPr/>
      </xdr:nvSpPr>
      <xdr:spPr>
        <a:xfrm>
          <a:off x="4829175" y="990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52</xdr:row>
      <xdr:rowOff>95250</xdr:rowOff>
    </xdr:from>
    <xdr:to>
      <xdr:col>6</xdr:col>
      <xdr:colOff>0</xdr:colOff>
      <xdr:row>52</xdr:row>
      <xdr:rowOff>95250</xdr:rowOff>
    </xdr:to>
    <xdr:cxnSp macro="">
      <xdr:nvCxnSpPr>
        <xdr:cNvPr id="761" name="OpenSolver 19"/>
        <xdr:cNvCxnSpPr>
          <a:stCxn id="759" idx="3"/>
          <a:endCxn id="760" idx="1"/>
        </xdr:cNvCxnSpPr>
      </xdr:nvCxnSpPr>
      <xdr:spPr>
        <a:xfrm>
          <a:off x="4829175" y="100012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51</xdr:row>
      <xdr:rowOff>158750</xdr:rowOff>
    </xdr:from>
    <xdr:to>
      <xdr:col>6</xdr:col>
      <xdr:colOff>190500</xdr:colOff>
      <xdr:row>53</xdr:row>
      <xdr:rowOff>31750</xdr:rowOff>
    </xdr:to>
    <xdr:sp macro="" textlink="">
      <xdr:nvSpPr>
        <xdr:cNvPr id="762" name="OpenSolver 20"/>
        <xdr:cNvSpPr/>
      </xdr:nvSpPr>
      <xdr:spPr>
        <a:xfrm>
          <a:off x="4638675" y="987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53</xdr:row>
      <xdr:rowOff>0</xdr:rowOff>
    </xdr:from>
    <xdr:to>
      <xdr:col>6</xdr:col>
      <xdr:colOff>0</xdr:colOff>
      <xdr:row>54</xdr:row>
      <xdr:rowOff>0</xdr:rowOff>
    </xdr:to>
    <xdr:sp macro="" textlink="">
      <xdr:nvSpPr>
        <xdr:cNvPr id="763" name="OpenSolver21"/>
        <xdr:cNvSpPr/>
      </xdr:nvSpPr>
      <xdr:spPr>
        <a:xfrm>
          <a:off x="4219575" y="100965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53</xdr:row>
      <xdr:rowOff>0</xdr:rowOff>
    </xdr:from>
    <xdr:to>
      <xdr:col>7</xdr:col>
      <xdr:colOff>0</xdr:colOff>
      <xdr:row>54</xdr:row>
      <xdr:rowOff>0</xdr:rowOff>
    </xdr:to>
    <xdr:sp macro="" textlink="">
      <xdr:nvSpPr>
        <xdr:cNvPr id="764" name="OpenSolver22"/>
        <xdr:cNvSpPr/>
      </xdr:nvSpPr>
      <xdr:spPr>
        <a:xfrm>
          <a:off x="4829175" y="100965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53</xdr:row>
      <xdr:rowOff>95250</xdr:rowOff>
    </xdr:from>
    <xdr:to>
      <xdr:col>6</xdr:col>
      <xdr:colOff>0</xdr:colOff>
      <xdr:row>53</xdr:row>
      <xdr:rowOff>95250</xdr:rowOff>
    </xdr:to>
    <xdr:cxnSp macro="">
      <xdr:nvCxnSpPr>
        <xdr:cNvPr id="765" name="OpenSolver 23"/>
        <xdr:cNvCxnSpPr>
          <a:stCxn id="763" idx="3"/>
          <a:endCxn id="764" idx="1"/>
        </xdr:cNvCxnSpPr>
      </xdr:nvCxnSpPr>
      <xdr:spPr>
        <a:xfrm>
          <a:off x="4829175" y="1019175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52</xdr:row>
      <xdr:rowOff>158750</xdr:rowOff>
    </xdr:from>
    <xdr:to>
      <xdr:col>6</xdr:col>
      <xdr:colOff>190500</xdr:colOff>
      <xdr:row>54</xdr:row>
      <xdr:rowOff>31750</xdr:rowOff>
    </xdr:to>
    <xdr:sp macro="" textlink="">
      <xdr:nvSpPr>
        <xdr:cNvPr id="766" name="OpenSolver 24"/>
        <xdr:cNvSpPr/>
      </xdr:nvSpPr>
      <xdr:spPr>
        <a:xfrm>
          <a:off x="4638675" y="1006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767" name="OpenSolver25"/>
        <xdr:cNvSpPr/>
      </xdr:nvSpPr>
      <xdr:spPr>
        <a:xfrm>
          <a:off x="4219575" y="10858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57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768" name="OpenSolver26"/>
        <xdr:cNvSpPr/>
      </xdr:nvSpPr>
      <xdr:spPr>
        <a:xfrm>
          <a:off x="4829175" y="10858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57</xdr:row>
      <xdr:rowOff>95250</xdr:rowOff>
    </xdr:from>
    <xdr:to>
      <xdr:col>6</xdr:col>
      <xdr:colOff>0</xdr:colOff>
      <xdr:row>57</xdr:row>
      <xdr:rowOff>95250</xdr:rowOff>
    </xdr:to>
    <xdr:cxnSp macro="">
      <xdr:nvCxnSpPr>
        <xdr:cNvPr id="769" name="OpenSolver 27"/>
        <xdr:cNvCxnSpPr>
          <a:stCxn id="767" idx="3"/>
          <a:endCxn id="768" idx="1"/>
        </xdr:cNvCxnSpPr>
      </xdr:nvCxnSpPr>
      <xdr:spPr>
        <a:xfrm>
          <a:off x="4829175" y="10953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56</xdr:row>
      <xdr:rowOff>158750</xdr:rowOff>
    </xdr:from>
    <xdr:to>
      <xdr:col>6</xdr:col>
      <xdr:colOff>190500</xdr:colOff>
      <xdr:row>58</xdr:row>
      <xdr:rowOff>31750</xdr:rowOff>
    </xdr:to>
    <xdr:sp macro="" textlink="">
      <xdr:nvSpPr>
        <xdr:cNvPr id="770" name="OpenSolver 28"/>
        <xdr:cNvSpPr/>
      </xdr:nvSpPr>
      <xdr:spPr>
        <a:xfrm>
          <a:off x="4638675" y="10826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58</xdr:row>
      <xdr:rowOff>0</xdr:rowOff>
    </xdr:from>
    <xdr:to>
      <xdr:col>6</xdr:col>
      <xdr:colOff>0</xdr:colOff>
      <xdr:row>59</xdr:row>
      <xdr:rowOff>0</xdr:rowOff>
    </xdr:to>
    <xdr:sp macro="" textlink="">
      <xdr:nvSpPr>
        <xdr:cNvPr id="771" name="OpenSolver29"/>
        <xdr:cNvSpPr/>
      </xdr:nvSpPr>
      <xdr:spPr>
        <a:xfrm>
          <a:off x="4219575" y="11049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58</xdr:row>
      <xdr:rowOff>0</xdr:rowOff>
    </xdr:from>
    <xdr:to>
      <xdr:col>7</xdr:col>
      <xdr:colOff>0</xdr:colOff>
      <xdr:row>59</xdr:row>
      <xdr:rowOff>0</xdr:rowOff>
    </xdr:to>
    <xdr:sp macro="" textlink="">
      <xdr:nvSpPr>
        <xdr:cNvPr id="772" name="OpenSolver30"/>
        <xdr:cNvSpPr/>
      </xdr:nvSpPr>
      <xdr:spPr>
        <a:xfrm>
          <a:off x="4829175" y="11049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58</xdr:row>
      <xdr:rowOff>95250</xdr:rowOff>
    </xdr:from>
    <xdr:to>
      <xdr:col>6</xdr:col>
      <xdr:colOff>0</xdr:colOff>
      <xdr:row>58</xdr:row>
      <xdr:rowOff>95250</xdr:rowOff>
    </xdr:to>
    <xdr:cxnSp macro="">
      <xdr:nvCxnSpPr>
        <xdr:cNvPr id="773" name="OpenSolver 31"/>
        <xdr:cNvCxnSpPr>
          <a:stCxn id="771" idx="3"/>
          <a:endCxn id="772" idx="1"/>
        </xdr:cNvCxnSpPr>
      </xdr:nvCxnSpPr>
      <xdr:spPr>
        <a:xfrm>
          <a:off x="4829175" y="111442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57</xdr:row>
      <xdr:rowOff>158750</xdr:rowOff>
    </xdr:from>
    <xdr:to>
      <xdr:col>6</xdr:col>
      <xdr:colOff>190500</xdr:colOff>
      <xdr:row>59</xdr:row>
      <xdr:rowOff>31750</xdr:rowOff>
    </xdr:to>
    <xdr:sp macro="" textlink="">
      <xdr:nvSpPr>
        <xdr:cNvPr id="774" name="OpenSolver 32"/>
        <xdr:cNvSpPr/>
      </xdr:nvSpPr>
      <xdr:spPr>
        <a:xfrm>
          <a:off x="4638675" y="11017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59</xdr:row>
      <xdr:rowOff>0</xdr:rowOff>
    </xdr:from>
    <xdr:to>
      <xdr:col>6</xdr:col>
      <xdr:colOff>0</xdr:colOff>
      <xdr:row>60</xdr:row>
      <xdr:rowOff>0</xdr:rowOff>
    </xdr:to>
    <xdr:sp macro="" textlink="">
      <xdr:nvSpPr>
        <xdr:cNvPr id="775" name="OpenSolver33"/>
        <xdr:cNvSpPr/>
      </xdr:nvSpPr>
      <xdr:spPr>
        <a:xfrm>
          <a:off x="4219575" y="112395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</xdr:col>
      <xdr:colOff>0</xdr:colOff>
      <xdr:row>59</xdr:row>
      <xdr:rowOff>0</xdr:rowOff>
    </xdr:from>
    <xdr:to>
      <xdr:col>7</xdr:col>
      <xdr:colOff>0</xdr:colOff>
      <xdr:row>60</xdr:row>
      <xdr:rowOff>0</xdr:rowOff>
    </xdr:to>
    <xdr:sp macro="" textlink="">
      <xdr:nvSpPr>
        <xdr:cNvPr id="776" name="OpenSolver34"/>
        <xdr:cNvSpPr/>
      </xdr:nvSpPr>
      <xdr:spPr>
        <a:xfrm>
          <a:off x="4829175" y="112395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59</xdr:row>
      <xdr:rowOff>95250</xdr:rowOff>
    </xdr:from>
    <xdr:to>
      <xdr:col>6</xdr:col>
      <xdr:colOff>0</xdr:colOff>
      <xdr:row>59</xdr:row>
      <xdr:rowOff>95250</xdr:rowOff>
    </xdr:to>
    <xdr:cxnSp macro="">
      <xdr:nvCxnSpPr>
        <xdr:cNvPr id="777" name="OpenSolver 35"/>
        <xdr:cNvCxnSpPr>
          <a:stCxn id="775" idx="3"/>
          <a:endCxn id="776" idx="1"/>
        </xdr:cNvCxnSpPr>
      </xdr:nvCxnSpPr>
      <xdr:spPr>
        <a:xfrm>
          <a:off x="4829175" y="113347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58</xdr:row>
      <xdr:rowOff>158750</xdr:rowOff>
    </xdr:from>
    <xdr:to>
      <xdr:col>6</xdr:col>
      <xdr:colOff>190500</xdr:colOff>
      <xdr:row>60</xdr:row>
      <xdr:rowOff>31750</xdr:rowOff>
    </xdr:to>
    <xdr:sp macro="" textlink="">
      <xdr:nvSpPr>
        <xdr:cNvPr id="778" name="OpenSolver 36"/>
        <xdr:cNvSpPr/>
      </xdr:nvSpPr>
      <xdr:spPr>
        <a:xfrm>
          <a:off x="4638675" y="1120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0</xdr:rowOff>
    </xdr:from>
    <xdr:to>
      <xdr:col>6</xdr:col>
      <xdr:colOff>0</xdr:colOff>
      <xdr:row>61</xdr:row>
      <xdr:rowOff>0</xdr:rowOff>
    </xdr:to>
    <xdr:sp macro="" textlink="">
      <xdr:nvSpPr>
        <xdr:cNvPr id="779" name="OpenSolver37"/>
        <xdr:cNvSpPr/>
      </xdr:nvSpPr>
      <xdr:spPr>
        <a:xfrm>
          <a:off x="4219575" y="11430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60</xdr:row>
      <xdr:rowOff>0</xdr:rowOff>
    </xdr:from>
    <xdr:to>
      <xdr:col>7</xdr:col>
      <xdr:colOff>0</xdr:colOff>
      <xdr:row>61</xdr:row>
      <xdr:rowOff>0</xdr:rowOff>
    </xdr:to>
    <xdr:sp macro="" textlink="">
      <xdr:nvSpPr>
        <xdr:cNvPr id="780" name="OpenSolver38"/>
        <xdr:cNvSpPr/>
      </xdr:nvSpPr>
      <xdr:spPr>
        <a:xfrm>
          <a:off x="4829175" y="11430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60</xdr:row>
      <xdr:rowOff>95250</xdr:rowOff>
    </xdr:from>
    <xdr:to>
      <xdr:col>6</xdr:col>
      <xdr:colOff>0</xdr:colOff>
      <xdr:row>60</xdr:row>
      <xdr:rowOff>95250</xdr:rowOff>
    </xdr:to>
    <xdr:cxnSp macro="">
      <xdr:nvCxnSpPr>
        <xdr:cNvPr id="781" name="OpenSolver 39"/>
        <xdr:cNvCxnSpPr>
          <a:stCxn id="779" idx="3"/>
          <a:endCxn id="780" idx="1"/>
        </xdr:cNvCxnSpPr>
      </xdr:nvCxnSpPr>
      <xdr:spPr>
        <a:xfrm>
          <a:off x="4829175" y="115252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59</xdr:row>
      <xdr:rowOff>158750</xdr:rowOff>
    </xdr:from>
    <xdr:to>
      <xdr:col>6</xdr:col>
      <xdr:colOff>190500</xdr:colOff>
      <xdr:row>61</xdr:row>
      <xdr:rowOff>31750</xdr:rowOff>
    </xdr:to>
    <xdr:sp macro="" textlink="">
      <xdr:nvSpPr>
        <xdr:cNvPr id="782" name="OpenSolver 40"/>
        <xdr:cNvSpPr/>
      </xdr:nvSpPr>
      <xdr:spPr>
        <a:xfrm>
          <a:off x="4638675" y="1139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64</xdr:row>
      <xdr:rowOff>0</xdr:rowOff>
    </xdr:from>
    <xdr:to>
      <xdr:col>6</xdr:col>
      <xdr:colOff>0</xdr:colOff>
      <xdr:row>65</xdr:row>
      <xdr:rowOff>0</xdr:rowOff>
    </xdr:to>
    <xdr:sp macro="" textlink="">
      <xdr:nvSpPr>
        <xdr:cNvPr id="783" name="OpenSolver41"/>
        <xdr:cNvSpPr/>
      </xdr:nvSpPr>
      <xdr:spPr>
        <a:xfrm>
          <a:off x="4219575" y="1219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64</xdr:row>
      <xdr:rowOff>0</xdr:rowOff>
    </xdr:from>
    <xdr:to>
      <xdr:col>7</xdr:col>
      <xdr:colOff>0</xdr:colOff>
      <xdr:row>65</xdr:row>
      <xdr:rowOff>0</xdr:rowOff>
    </xdr:to>
    <xdr:sp macro="" textlink="">
      <xdr:nvSpPr>
        <xdr:cNvPr id="784" name="OpenSolver42"/>
        <xdr:cNvSpPr/>
      </xdr:nvSpPr>
      <xdr:spPr>
        <a:xfrm>
          <a:off x="4829175" y="1219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64</xdr:row>
      <xdr:rowOff>95250</xdr:rowOff>
    </xdr:from>
    <xdr:to>
      <xdr:col>6</xdr:col>
      <xdr:colOff>0</xdr:colOff>
      <xdr:row>64</xdr:row>
      <xdr:rowOff>95250</xdr:rowOff>
    </xdr:to>
    <xdr:cxnSp macro="">
      <xdr:nvCxnSpPr>
        <xdr:cNvPr id="785" name="OpenSolver 43"/>
        <xdr:cNvCxnSpPr>
          <a:stCxn id="783" idx="3"/>
          <a:endCxn id="784" idx="1"/>
        </xdr:cNvCxnSpPr>
      </xdr:nvCxnSpPr>
      <xdr:spPr>
        <a:xfrm>
          <a:off x="4829175" y="122872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63</xdr:row>
      <xdr:rowOff>158750</xdr:rowOff>
    </xdr:from>
    <xdr:to>
      <xdr:col>6</xdr:col>
      <xdr:colOff>190500</xdr:colOff>
      <xdr:row>65</xdr:row>
      <xdr:rowOff>31750</xdr:rowOff>
    </xdr:to>
    <xdr:sp macro="" textlink="">
      <xdr:nvSpPr>
        <xdr:cNvPr id="786" name="OpenSolver 44"/>
        <xdr:cNvSpPr/>
      </xdr:nvSpPr>
      <xdr:spPr>
        <a:xfrm>
          <a:off x="4638675" y="1216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65</xdr:row>
      <xdr:rowOff>0</xdr:rowOff>
    </xdr:from>
    <xdr:to>
      <xdr:col>6</xdr:col>
      <xdr:colOff>0</xdr:colOff>
      <xdr:row>66</xdr:row>
      <xdr:rowOff>0</xdr:rowOff>
    </xdr:to>
    <xdr:sp macro="" textlink="">
      <xdr:nvSpPr>
        <xdr:cNvPr id="787" name="OpenSolver45"/>
        <xdr:cNvSpPr/>
      </xdr:nvSpPr>
      <xdr:spPr>
        <a:xfrm>
          <a:off x="4219575" y="12382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</xdr:col>
      <xdr:colOff>0</xdr:colOff>
      <xdr:row>65</xdr:row>
      <xdr:rowOff>0</xdr:rowOff>
    </xdr:from>
    <xdr:to>
      <xdr:col>7</xdr:col>
      <xdr:colOff>0</xdr:colOff>
      <xdr:row>66</xdr:row>
      <xdr:rowOff>0</xdr:rowOff>
    </xdr:to>
    <xdr:sp macro="" textlink="">
      <xdr:nvSpPr>
        <xdr:cNvPr id="788" name="OpenSolver46"/>
        <xdr:cNvSpPr/>
      </xdr:nvSpPr>
      <xdr:spPr>
        <a:xfrm>
          <a:off x="4829175" y="12382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65</xdr:row>
      <xdr:rowOff>95250</xdr:rowOff>
    </xdr:from>
    <xdr:to>
      <xdr:col>6</xdr:col>
      <xdr:colOff>0</xdr:colOff>
      <xdr:row>65</xdr:row>
      <xdr:rowOff>95250</xdr:rowOff>
    </xdr:to>
    <xdr:cxnSp macro="">
      <xdr:nvCxnSpPr>
        <xdr:cNvPr id="789" name="OpenSolver 47"/>
        <xdr:cNvCxnSpPr>
          <a:stCxn id="787" idx="3"/>
          <a:endCxn id="788" idx="1"/>
        </xdr:cNvCxnSpPr>
      </xdr:nvCxnSpPr>
      <xdr:spPr>
        <a:xfrm>
          <a:off x="4829175" y="124777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64</xdr:row>
      <xdr:rowOff>158750</xdr:rowOff>
    </xdr:from>
    <xdr:to>
      <xdr:col>6</xdr:col>
      <xdr:colOff>190500</xdr:colOff>
      <xdr:row>66</xdr:row>
      <xdr:rowOff>31750</xdr:rowOff>
    </xdr:to>
    <xdr:sp macro="" textlink="">
      <xdr:nvSpPr>
        <xdr:cNvPr id="790" name="OpenSolver 48"/>
        <xdr:cNvSpPr/>
      </xdr:nvSpPr>
      <xdr:spPr>
        <a:xfrm>
          <a:off x="4638675" y="1235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66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791" name="OpenSolver49"/>
        <xdr:cNvSpPr/>
      </xdr:nvSpPr>
      <xdr:spPr>
        <a:xfrm>
          <a:off x="4219575" y="12573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66</xdr:row>
      <xdr:rowOff>0</xdr:rowOff>
    </xdr:from>
    <xdr:to>
      <xdr:col>7</xdr:col>
      <xdr:colOff>0</xdr:colOff>
      <xdr:row>67</xdr:row>
      <xdr:rowOff>0</xdr:rowOff>
    </xdr:to>
    <xdr:sp macro="" textlink="">
      <xdr:nvSpPr>
        <xdr:cNvPr id="792" name="OpenSolver50"/>
        <xdr:cNvSpPr/>
      </xdr:nvSpPr>
      <xdr:spPr>
        <a:xfrm>
          <a:off x="4829175" y="12573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66</xdr:row>
      <xdr:rowOff>95250</xdr:rowOff>
    </xdr:from>
    <xdr:to>
      <xdr:col>6</xdr:col>
      <xdr:colOff>0</xdr:colOff>
      <xdr:row>66</xdr:row>
      <xdr:rowOff>95250</xdr:rowOff>
    </xdr:to>
    <xdr:cxnSp macro="">
      <xdr:nvCxnSpPr>
        <xdr:cNvPr id="793" name="OpenSolver 51"/>
        <xdr:cNvCxnSpPr>
          <a:stCxn id="791" idx="3"/>
          <a:endCxn id="792" idx="1"/>
        </xdr:cNvCxnSpPr>
      </xdr:nvCxnSpPr>
      <xdr:spPr>
        <a:xfrm>
          <a:off x="4829175" y="1266825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65</xdr:row>
      <xdr:rowOff>158750</xdr:rowOff>
    </xdr:from>
    <xdr:to>
      <xdr:col>6</xdr:col>
      <xdr:colOff>190500</xdr:colOff>
      <xdr:row>67</xdr:row>
      <xdr:rowOff>31750</xdr:rowOff>
    </xdr:to>
    <xdr:sp macro="" textlink="">
      <xdr:nvSpPr>
        <xdr:cNvPr id="794" name="OpenSolver 52"/>
        <xdr:cNvSpPr/>
      </xdr:nvSpPr>
      <xdr:spPr>
        <a:xfrm>
          <a:off x="4638675" y="1254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67</xdr:row>
      <xdr:rowOff>0</xdr:rowOff>
    </xdr:from>
    <xdr:to>
      <xdr:col>6</xdr:col>
      <xdr:colOff>0</xdr:colOff>
      <xdr:row>68</xdr:row>
      <xdr:rowOff>0</xdr:rowOff>
    </xdr:to>
    <xdr:sp macro="" textlink="">
      <xdr:nvSpPr>
        <xdr:cNvPr id="795" name="OpenSolver53"/>
        <xdr:cNvSpPr/>
      </xdr:nvSpPr>
      <xdr:spPr>
        <a:xfrm>
          <a:off x="4219575" y="12763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67</xdr:row>
      <xdr:rowOff>0</xdr:rowOff>
    </xdr:from>
    <xdr:to>
      <xdr:col>7</xdr:col>
      <xdr:colOff>0</xdr:colOff>
      <xdr:row>68</xdr:row>
      <xdr:rowOff>0</xdr:rowOff>
    </xdr:to>
    <xdr:sp macro="" textlink="">
      <xdr:nvSpPr>
        <xdr:cNvPr id="796" name="OpenSolver54"/>
        <xdr:cNvSpPr/>
      </xdr:nvSpPr>
      <xdr:spPr>
        <a:xfrm>
          <a:off x="4829175" y="12763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67</xdr:row>
      <xdr:rowOff>95250</xdr:rowOff>
    </xdr:from>
    <xdr:to>
      <xdr:col>6</xdr:col>
      <xdr:colOff>0</xdr:colOff>
      <xdr:row>67</xdr:row>
      <xdr:rowOff>95250</xdr:rowOff>
    </xdr:to>
    <xdr:cxnSp macro="">
      <xdr:nvCxnSpPr>
        <xdr:cNvPr id="797" name="OpenSolver 55"/>
        <xdr:cNvCxnSpPr>
          <a:stCxn id="795" idx="3"/>
          <a:endCxn id="796" idx="1"/>
        </xdr:cNvCxnSpPr>
      </xdr:nvCxnSpPr>
      <xdr:spPr>
        <a:xfrm>
          <a:off x="4829175" y="12858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66</xdr:row>
      <xdr:rowOff>158750</xdr:rowOff>
    </xdr:from>
    <xdr:to>
      <xdr:col>6</xdr:col>
      <xdr:colOff>190500</xdr:colOff>
      <xdr:row>68</xdr:row>
      <xdr:rowOff>31750</xdr:rowOff>
    </xdr:to>
    <xdr:sp macro="" textlink="">
      <xdr:nvSpPr>
        <xdr:cNvPr id="798" name="OpenSolver 56"/>
        <xdr:cNvSpPr/>
      </xdr:nvSpPr>
      <xdr:spPr>
        <a:xfrm>
          <a:off x="4638675" y="1273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71</xdr:row>
      <xdr:rowOff>0</xdr:rowOff>
    </xdr:from>
    <xdr:to>
      <xdr:col>6</xdr:col>
      <xdr:colOff>0</xdr:colOff>
      <xdr:row>72</xdr:row>
      <xdr:rowOff>0</xdr:rowOff>
    </xdr:to>
    <xdr:sp macro="" textlink="">
      <xdr:nvSpPr>
        <xdr:cNvPr id="799" name="OpenSolver57"/>
        <xdr:cNvSpPr/>
      </xdr:nvSpPr>
      <xdr:spPr>
        <a:xfrm>
          <a:off x="4219575" y="135255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71</xdr:row>
      <xdr:rowOff>0</xdr:rowOff>
    </xdr:from>
    <xdr:to>
      <xdr:col>7</xdr:col>
      <xdr:colOff>0</xdr:colOff>
      <xdr:row>72</xdr:row>
      <xdr:rowOff>0</xdr:rowOff>
    </xdr:to>
    <xdr:sp macro="" textlink="">
      <xdr:nvSpPr>
        <xdr:cNvPr id="800" name="OpenSolver58"/>
        <xdr:cNvSpPr/>
      </xdr:nvSpPr>
      <xdr:spPr>
        <a:xfrm>
          <a:off x="4829175" y="135255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71</xdr:row>
      <xdr:rowOff>95250</xdr:rowOff>
    </xdr:from>
    <xdr:to>
      <xdr:col>6</xdr:col>
      <xdr:colOff>0</xdr:colOff>
      <xdr:row>71</xdr:row>
      <xdr:rowOff>95250</xdr:rowOff>
    </xdr:to>
    <xdr:cxnSp macro="">
      <xdr:nvCxnSpPr>
        <xdr:cNvPr id="801" name="OpenSolver 59"/>
        <xdr:cNvCxnSpPr>
          <a:stCxn id="799" idx="3"/>
          <a:endCxn id="800" idx="1"/>
        </xdr:cNvCxnSpPr>
      </xdr:nvCxnSpPr>
      <xdr:spPr>
        <a:xfrm>
          <a:off x="4829175" y="136207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70</xdr:row>
      <xdr:rowOff>158750</xdr:rowOff>
    </xdr:from>
    <xdr:to>
      <xdr:col>6</xdr:col>
      <xdr:colOff>190500</xdr:colOff>
      <xdr:row>72</xdr:row>
      <xdr:rowOff>31750</xdr:rowOff>
    </xdr:to>
    <xdr:sp macro="" textlink="">
      <xdr:nvSpPr>
        <xdr:cNvPr id="802" name="OpenSolver 60"/>
        <xdr:cNvSpPr/>
      </xdr:nvSpPr>
      <xdr:spPr>
        <a:xfrm>
          <a:off x="4638675" y="1349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72</xdr:row>
      <xdr:rowOff>0</xdr:rowOff>
    </xdr:from>
    <xdr:to>
      <xdr:col>6</xdr:col>
      <xdr:colOff>0</xdr:colOff>
      <xdr:row>73</xdr:row>
      <xdr:rowOff>0</xdr:rowOff>
    </xdr:to>
    <xdr:sp macro="" textlink="">
      <xdr:nvSpPr>
        <xdr:cNvPr id="803" name="OpenSolver61"/>
        <xdr:cNvSpPr/>
      </xdr:nvSpPr>
      <xdr:spPr>
        <a:xfrm>
          <a:off x="4219575" y="13716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</xdr:col>
      <xdr:colOff>0</xdr:colOff>
      <xdr:row>72</xdr:row>
      <xdr:rowOff>0</xdr:rowOff>
    </xdr:from>
    <xdr:to>
      <xdr:col>7</xdr:col>
      <xdr:colOff>0</xdr:colOff>
      <xdr:row>73</xdr:row>
      <xdr:rowOff>0</xdr:rowOff>
    </xdr:to>
    <xdr:sp macro="" textlink="">
      <xdr:nvSpPr>
        <xdr:cNvPr id="804" name="OpenSolver62"/>
        <xdr:cNvSpPr/>
      </xdr:nvSpPr>
      <xdr:spPr>
        <a:xfrm>
          <a:off x="4829175" y="13716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72</xdr:row>
      <xdr:rowOff>95250</xdr:rowOff>
    </xdr:from>
    <xdr:to>
      <xdr:col>6</xdr:col>
      <xdr:colOff>0</xdr:colOff>
      <xdr:row>72</xdr:row>
      <xdr:rowOff>95250</xdr:rowOff>
    </xdr:to>
    <xdr:cxnSp macro="">
      <xdr:nvCxnSpPr>
        <xdr:cNvPr id="805" name="OpenSolver 63"/>
        <xdr:cNvCxnSpPr>
          <a:stCxn id="803" idx="3"/>
          <a:endCxn id="804" idx="1"/>
        </xdr:cNvCxnSpPr>
      </xdr:nvCxnSpPr>
      <xdr:spPr>
        <a:xfrm>
          <a:off x="4829175" y="138112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71</xdr:row>
      <xdr:rowOff>158750</xdr:rowOff>
    </xdr:from>
    <xdr:to>
      <xdr:col>6</xdr:col>
      <xdr:colOff>190500</xdr:colOff>
      <xdr:row>73</xdr:row>
      <xdr:rowOff>31750</xdr:rowOff>
    </xdr:to>
    <xdr:sp macro="" textlink="">
      <xdr:nvSpPr>
        <xdr:cNvPr id="806" name="OpenSolver 64"/>
        <xdr:cNvSpPr/>
      </xdr:nvSpPr>
      <xdr:spPr>
        <a:xfrm>
          <a:off x="4638675" y="136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76</xdr:row>
      <xdr:rowOff>0</xdr:rowOff>
    </xdr:from>
    <xdr:to>
      <xdr:col>6</xdr:col>
      <xdr:colOff>0</xdr:colOff>
      <xdr:row>77</xdr:row>
      <xdr:rowOff>0</xdr:rowOff>
    </xdr:to>
    <xdr:sp macro="" textlink="">
      <xdr:nvSpPr>
        <xdr:cNvPr id="807" name="OpenSolver65"/>
        <xdr:cNvSpPr/>
      </xdr:nvSpPr>
      <xdr:spPr>
        <a:xfrm>
          <a:off x="4219575" y="14478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76</xdr:row>
      <xdr:rowOff>0</xdr:rowOff>
    </xdr:from>
    <xdr:to>
      <xdr:col>7</xdr:col>
      <xdr:colOff>0</xdr:colOff>
      <xdr:row>77</xdr:row>
      <xdr:rowOff>0</xdr:rowOff>
    </xdr:to>
    <xdr:sp macro="" textlink="">
      <xdr:nvSpPr>
        <xdr:cNvPr id="808" name="OpenSolver66"/>
        <xdr:cNvSpPr/>
      </xdr:nvSpPr>
      <xdr:spPr>
        <a:xfrm>
          <a:off x="4829175" y="14478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76</xdr:row>
      <xdr:rowOff>95250</xdr:rowOff>
    </xdr:from>
    <xdr:to>
      <xdr:col>6</xdr:col>
      <xdr:colOff>0</xdr:colOff>
      <xdr:row>76</xdr:row>
      <xdr:rowOff>95250</xdr:rowOff>
    </xdr:to>
    <xdr:cxnSp macro="">
      <xdr:nvCxnSpPr>
        <xdr:cNvPr id="809" name="OpenSolver 67"/>
        <xdr:cNvCxnSpPr>
          <a:stCxn id="807" idx="3"/>
          <a:endCxn id="808" idx="1"/>
        </xdr:cNvCxnSpPr>
      </xdr:nvCxnSpPr>
      <xdr:spPr>
        <a:xfrm>
          <a:off x="4829175" y="145732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75</xdr:row>
      <xdr:rowOff>158750</xdr:rowOff>
    </xdr:from>
    <xdr:to>
      <xdr:col>6</xdr:col>
      <xdr:colOff>190500</xdr:colOff>
      <xdr:row>77</xdr:row>
      <xdr:rowOff>31750</xdr:rowOff>
    </xdr:to>
    <xdr:sp macro="" textlink="">
      <xdr:nvSpPr>
        <xdr:cNvPr id="810" name="OpenSolver 68"/>
        <xdr:cNvSpPr/>
      </xdr:nvSpPr>
      <xdr:spPr>
        <a:xfrm>
          <a:off x="4638675" y="1444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77</xdr:row>
      <xdr:rowOff>0</xdr:rowOff>
    </xdr:from>
    <xdr:to>
      <xdr:col>6</xdr:col>
      <xdr:colOff>0</xdr:colOff>
      <xdr:row>78</xdr:row>
      <xdr:rowOff>0</xdr:rowOff>
    </xdr:to>
    <xdr:sp macro="" textlink="">
      <xdr:nvSpPr>
        <xdr:cNvPr id="811" name="OpenSolver69"/>
        <xdr:cNvSpPr/>
      </xdr:nvSpPr>
      <xdr:spPr>
        <a:xfrm>
          <a:off x="4219575" y="14668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77</xdr:row>
      <xdr:rowOff>0</xdr:rowOff>
    </xdr:from>
    <xdr:to>
      <xdr:col>7</xdr:col>
      <xdr:colOff>0</xdr:colOff>
      <xdr:row>78</xdr:row>
      <xdr:rowOff>0</xdr:rowOff>
    </xdr:to>
    <xdr:sp macro="" textlink="">
      <xdr:nvSpPr>
        <xdr:cNvPr id="812" name="OpenSolver70"/>
        <xdr:cNvSpPr/>
      </xdr:nvSpPr>
      <xdr:spPr>
        <a:xfrm>
          <a:off x="4829175" y="14668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77</xdr:row>
      <xdr:rowOff>95250</xdr:rowOff>
    </xdr:from>
    <xdr:to>
      <xdr:col>6</xdr:col>
      <xdr:colOff>0</xdr:colOff>
      <xdr:row>77</xdr:row>
      <xdr:rowOff>95250</xdr:rowOff>
    </xdr:to>
    <xdr:cxnSp macro="">
      <xdr:nvCxnSpPr>
        <xdr:cNvPr id="813" name="OpenSolver 71"/>
        <xdr:cNvCxnSpPr>
          <a:stCxn id="811" idx="3"/>
          <a:endCxn id="812" idx="1"/>
        </xdr:cNvCxnSpPr>
      </xdr:nvCxnSpPr>
      <xdr:spPr>
        <a:xfrm>
          <a:off x="4829175" y="147637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76</xdr:row>
      <xdr:rowOff>158750</xdr:rowOff>
    </xdr:from>
    <xdr:to>
      <xdr:col>6</xdr:col>
      <xdr:colOff>190500</xdr:colOff>
      <xdr:row>78</xdr:row>
      <xdr:rowOff>31750</xdr:rowOff>
    </xdr:to>
    <xdr:sp macro="" textlink="">
      <xdr:nvSpPr>
        <xdr:cNvPr id="814" name="OpenSolver 72"/>
        <xdr:cNvSpPr/>
      </xdr:nvSpPr>
      <xdr:spPr>
        <a:xfrm>
          <a:off x="4638675" y="14636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78</xdr:row>
      <xdr:rowOff>0</xdr:rowOff>
    </xdr:from>
    <xdr:to>
      <xdr:col>6</xdr:col>
      <xdr:colOff>0</xdr:colOff>
      <xdr:row>79</xdr:row>
      <xdr:rowOff>0</xdr:rowOff>
    </xdr:to>
    <xdr:sp macro="" textlink="">
      <xdr:nvSpPr>
        <xdr:cNvPr id="815" name="OpenSolver73"/>
        <xdr:cNvSpPr/>
      </xdr:nvSpPr>
      <xdr:spPr>
        <a:xfrm>
          <a:off x="4219575" y="14859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</xdr:col>
      <xdr:colOff>0</xdr:colOff>
      <xdr:row>78</xdr:row>
      <xdr:rowOff>0</xdr:rowOff>
    </xdr:from>
    <xdr:to>
      <xdr:col>7</xdr:col>
      <xdr:colOff>0</xdr:colOff>
      <xdr:row>79</xdr:row>
      <xdr:rowOff>0</xdr:rowOff>
    </xdr:to>
    <xdr:sp macro="" textlink="">
      <xdr:nvSpPr>
        <xdr:cNvPr id="816" name="OpenSolver74"/>
        <xdr:cNvSpPr/>
      </xdr:nvSpPr>
      <xdr:spPr>
        <a:xfrm>
          <a:off x="4829175" y="14859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78</xdr:row>
      <xdr:rowOff>95250</xdr:rowOff>
    </xdr:from>
    <xdr:to>
      <xdr:col>6</xdr:col>
      <xdr:colOff>0</xdr:colOff>
      <xdr:row>78</xdr:row>
      <xdr:rowOff>95250</xdr:rowOff>
    </xdr:to>
    <xdr:cxnSp macro="">
      <xdr:nvCxnSpPr>
        <xdr:cNvPr id="817" name="OpenSolver 75"/>
        <xdr:cNvCxnSpPr>
          <a:stCxn id="815" idx="3"/>
          <a:endCxn id="816" idx="1"/>
        </xdr:cNvCxnSpPr>
      </xdr:nvCxnSpPr>
      <xdr:spPr>
        <a:xfrm>
          <a:off x="4829175" y="149542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77</xdr:row>
      <xdr:rowOff>158750</xdr:rowOff>
    </xdr:from>
    <xdr:to>
      <xdr:col>6</xdr:col>
      <xdr:colOff>190500</xdr:colOff>
      <xdr:row>79</xdr:row>
      <xdr:rowOff>31750</xdr:rowOff>
    </xdr:to>
    <xdr:sp macro="" textlink="">
      <xdr:nvSpPr>
        <xdr:cNvPr id="818" name="OpenSolver 76"/>
        <xdr:cNvSpPr/>
      </xdr:nvSpPr>
      <xdr:spPr>
        <a:xfrm>
          <a:off x="4638675" y="14827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79</xdr:row>
      <xdr:rowOff>0</xdr:rowOff>
    </xdr:from>
    <xdr:to>
      <xdr:col>6</xdr:col>
      <xdr:colOff>0</xdr:colOff>
      <xdr:row>80</xdr:row>
      <xdr:rowOff>0</xdr:rowOff>
    </xdr:to>
    <xdr:sp macro="" textlink="">
      <xdr:nvSpPr>
        <xdr:cNvPr id="819" name="OpenSolver77"/>
        <xdr:cNvSpPr/>
      </xdr:nvSpPr>
      <xdr:spPr>
        <a:xfrm>
          <a:off x="4219575" y="150495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79</xdr:row>
      <xdr:rowOff>0</xdr:rowOff>
    </xdr:from>
    <xdr:to>
      <xdr:col>7</xdr:col>
      <xdr:colOff>0</xdr:colOff>
      <xdr:row>80</xdr:row>
      <xdr:rowOff>0</xdr:rowOff>
    </xdr:to>
    <xdr:sp macro="" textlink="">
      <xdr:nvSpPr>
        <xdr:cNvPr id="820" name="OpenSolver78"/>
        <xdr:cNvSpPr/>
      </xdr:nvSpPr>
      <xdr:spPr>
        <a:xfrm>
          <a:off x="4829175" y="150495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79</xdr:row>
      <xdr:rowOff>95250</xdr:rowOff>
    </xdr:from>
    <xdr:to>
      <xdr:col>6</xdr:col>
      <xdr:colOff>0</xdr:colOff>
      <xdr:row>79</xdr:row>
      <xdr:rowOff>95250</xdr:rowOff>
    </xdr:to>
    <xdr:cxnSp macro="">
      <xdr:nvCxnSpPr>
        <xdr:cNvPr id="821" name="OpenSolver 79"/>
        <xdr:cNvCxnSpPr>
          <a:stCxn id="819" idx="3"/>
          <a:endCxn id="820" idx="1"/>
        </xdr:cNvCxnSpPr>
      </xdr:nvCxnSpPr>
      <xdr:spPr>
        <a:xfrm>
          <a:off x="4829175" y="1514475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78</xdr:row>
      <xdr:rowOff>158750</xdr:rowOff>
    </xdr:from>
    <xdr:to>
      <xdr:col>6</xdr:col>
      <xdr:colOff>190500</xdr:colOff>
      <xdr:row>80</xdr:row>
      <xdr:rowOff>31750</xdr:rowOff>
    </xdr:to>
    <xdr:sp macro="" textlink="">
      <xdr:nvSpPr>
        <xdr:cNvPr id="822" name="OpenSolver 80"/>
        <xdr:cNvSpPr/>
      </xdr:nvSpPr>
      <xdr:spPr>
        <a:xfrm>
          <a:off x="4638675" y="1501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83</xdr:row>
      <xdr:rowOff>0</xdr:rowOff>
    </xdr:from>
    <xdr:to>
      <xdr:col>6</xdr:col>
      <xdr:colOff>0</xdr:colOff>
      <xdr:row>84</xdr:row>
      <xdr:rowOff>0</xdr:rowOff>
    </xdr:to>
    <xdr:sp macro="" textlink="">
      <xdr:nvSpPr>
        <xdr:cNvPr id="823" name="OpenSolver81"/>
        <xdr:cNvSpPr/>
      </xdr:nvSpPr>
      <xdr:spPr>
        <a:xfrm>
          <a:off x="4219575" y="15811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</xdr:col>
      <xdr:colOff>0</xdr:colOff>
      <xdr:row>83</xdr:row>
      <xdr:rowOff>0</xdr:rowOff>
    </xdr:from>
    <xdr:to>
      <xdr:col>7</xdr:col>
      <xdr:colOff>0</xdr:colOff>
      <xdr:row>84</xdr:row>
      <xdr:rowOff>0</xdr:rowOff>
    </xdr:to>
    <xdr:sp macro="" textlink="">
      <xdr:nvSpPr>
        <xdr:cNvPr id="824" name="OpenSolver82"/>
        <xdr:cNvSpPr/>
      </xdr:nvSpPr>
      <xdr:spPr>
        <a:xfrm>
          <a:off x="4829175" y="158115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83</xdr:row>
      <xdr:rowOff>95250</xdr:rowOff>
    </xdr:from>
    <xdr:to>
      <xdr:col>6</xdr:col>
      <xdr:colOff>0</xdr:colOff>
      <xdr:row>83</xdr:row>
      <xdr:rowOff>95250</xdr:rowOff>
    </xdr:to>
    <xdr:cxnSp macro="">
      <xdr:nvCxnSpPr>
        <xdr:cNvPr id="825" name="OpenSolver 83"/>
        <xdr:cNvCxnSpPr>
          <a:stCxn id="823" idx="3"/>
          <a:endCxn id="824" idx="1"/>
        </xdr:cNvCxnSpPr>
      </xdr:nvCxnSpPr>
      <xdr:spPr>
        <a:xfrm>
          <a:off x="4829175" y="15906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82</xdr:row>
      <xdr:rowOff>158750</xdr:rowOff>
    </xdr:from>
    <xdr:to>
      <xdr:col>6</xdr:col>
      <xdr:colOff>190500</xdr:colOff>
      <xdr:row>84</xdr:row>
      <xdr:rowOff>31750</xdr:rowOff>
    </xdr:to>
    <xdr:sp macro="" textlink="">
      <xdr:nvSpPr>
        <xdr:cNvPr id="826" name="OpenSolver 84"/>
        <xdr:cNvSpPr/>
      </xdr:nvSpPr>
      <xdr:spPr>
        <a:xfrm>
          <a:off x="4638675" y="15779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84</xdr:row>
      <xdr:rowOff>0</xdr:rowOff>
    </xdr:from>
    <xdr:to>
      <xdr:col>6</xdr:col>
      <xdr:colOff>0</xdr:colOff>
      <xdr:row>85</xdr:row>
      <xdr:rowOff>0</xdr:rowOff>
    </xdr:to>
    <xdr:sp macro="" textlink="">
      <xdr:nvSpPr>
        <xdr:cNvPr id="827" name="OpenSolver85"/>
        <xdr:cNvSpPr/>
      </xdr:nvSpPr>
      <xdr:spPr>
        <a:xfrm>
          <a:off x="4219575" y="1600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</xdr:col>
      <xdr:colOff>0</xdr:colOff>
      <xdr:row>84</xdr:row>
      <xdr:rowOff>0</xdr:rowOff>
    </xdr:from>
    <xdr:to>
      <xdr:col>7</xdr:col>
      <xdr:colOff>0</xdr:colOff>
      <xdr:row>85</xdr:row>
      <xdr:rowOff>0</xdr:rowOff>
    </xdr:to>
    <xdr:sp macro="" textlink="">
      <xdr:nvSpPr>
        <xdr:cNvPr id="828" name="OpenSolver86"/>
        <xdr:cNvSpPr/>
      </xdr:nvSpPr>
      <xdr:spPr>
        <a:xfrm>
          <a:off x="4829175" y="1600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84</xdr:row>
      <xdr:rowOff>95250</xdr:rowOff>
    </xdr:from>
    <xdr:to>
      <xdr:col>6</xdr:col>
      <xdr:colOff>0</xdr:colOff>
      <xdr:row>84</xdr:row>
      <xdr:rowOff>95250</xdr:rowOff>
    </xdr:to>
    <xdr:cxnSp macro="">
      <xdr:nvCxnSpPr>
        <xdr:cNvPr id="829" name="OpenSolver 87"/>
        <xdr:cNvCxnSpPr>
          <a:stCxn id="827" idx="3"/>
          <a:endCxn id="828" idx="1"/>
        </xdr:cNvCxnSpPr>
      </xdr:nvCxnSpPr>
      <xdr:spPr>
        <a:xfrm>
          <a:off x="4829175" y="160972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83</xdr:row>
      <xdr:rowOff>158750</xdr:rowOff>
    </xdr:from>
    <xdr:to>
      <xdr:col>6</xdr:col>
      <xdr:colOff>190500</xdr:colOff>
      <xdr:row>85</xdr:row>
      <xdr:rowOff>31750</xdr:rowOff>
    </xdr:to>
    <xdr:sp macro="" textlink="">
      <xdr:nvSpPr>
        <xdr:cNvPr id="830" name="OpenSolver 88"/>
        <xdr:cNvSpPr/>
      </xdr:nvSpPr>
      <xdr:spPr>
        <a:xfrm>
          <a:off x="4638675" y="1597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12700</xdr:colOff>
      <xdr:row>72</xdr:row>
      <xdr:rowOff>12700</xdr:rowOff>
    </xdr:from>
    <xdr:to>
      <xdr:col>2</xdr:col>
      <xdr:colOff>12700</xdr:colOff>
      <xdr:row>80</xdr:row>
      <xdr:rowOff>12700</xdr:rowOff>
    </xdr:to>
    <xdr:sp macro="" textlink="">
      <xdr:nvSpPr>
        <xdr:cNvPr id="831" name="OpenSolver89"/>
        <xdr:cNvSpPr/>
      </xdr:nvSpPr>
      <xdr:spPr>
        <a:xfrm>
          <a:off x="622300" y="13728700"/>
          <a:ext cx="609600" cy="152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1≤</a:t>
          </a:r>
        </a:p>
      </xdr:txBody>
    </xdr:sp>
    <xdr:clientData/>
  </xdr:twoCellAnchor>
  <xdr:twoCellAnchor>
    <xdr:from>
      <xdr:col>1</xdr:col>
      <xdr:colOff>12700</xdr:colOff>
      <xdr:row>81</xdr:row>
      <xdr:rowOff>12700</xdr:rowOff>
    </xdr:from>
    <xdr:to>
      <xdr:col>2</xdr:col>
      <xdr:colOff>12700</xdr:colOff>
      <xdr:row>85</xdr:row>
      <xdr:rowOff>12700</xdr:rowOff>
    </xdr:to>
    <xdr:sp macro="" textlink="">
      <xdr:nvSpPr>
        <xdr:cNvPr id="832" name="OpenSolver90"/>
        <xdr:cNvSpPr/>
      </xdr:nvSpPr>
      <xdr:spPr>
        <a:xfrm>
          <a:off x="622300" y="15443200"/>
          <a:ext cx="609600" cy="76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1≤</a:t>
          </a:r>
        </a:p>
      </xdr:txBody>
    </xdr:sp>
    <xdr:clientData/>
  </xdr:twoCellAnchor>
  <xdr:twoCellAnchor>
    <xdr:from>
      <xdr:col>1</xdr:col>
      <xdr:colOff>12700</xdr:colOff>
      <xdr:row>86</xdr:row>
      <xdr:rowOff>12700</xdr:rowOff>
    </xdr:from>
    <xdr:to>
      <xdr:col>2</xdr:col>
      <xdr:colOff>12700</xdr:colOff>
      <xdr:row>94</xdr:row>
      <xdr:rowOff>12700</xdr:rowOff>
    </xdr:to>
    <xdr:sp macro="" textlink="">
      <xdr:nvSpPr>
        <xdr:cNvPr id="833" name="OpenSolver91"/>
        <xdr:cNvSpPr/>
      </xdr:nvSpPr>
      <xdr:spPr>
        <a:xfrm>
          <a:off x="622300" y="16395700"/>
          <a:ext cx="609600" cy="152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1≤</a:t>
          </a:r>
        </a:p>
      </xdr:txBody>
    </xdr:sp>
    <xdr:clientData/>
  </xdr:twoCellAnchor>
  <xdr:twoCellAnchor>
    <xdr:from>
      <xdr:col>1</xdr:col>
      <xdr:colOff>12700</xdr:colOff>
      <xdr:row>95</xdr:row>
      <xdr:rowOff>12700</xdr:rowOff>
    </xdr:from>
    <xdr:to>
      <xdr:col>2</xdr:col>
      <xdr:colOff>12700</xdr:colOff>
      <xdr:row>103</xdr:row>
      <xdr:rowOff>12700</xdr:rowOff>
    </xdr:to>
    <xdr:sp macro="" textlink="">
      <xdr:nvSpPr>
        <xdr:cNvPr id="834" name="OpenSolver92"/>
        <xdr:cNvSpPr/>
      </xdr:nvSpPr>
      <xdr:spPr>
        <a:xfrm>
          <a:off x="622300" y="181102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1≤</a:t>
          </a:r>
        </a:p>
      </xdr:txBody>
    </xdr:sp>
    <xdr:clientData/>
  </xdr:twoCellAnchor>
  <xdr:twoCellAnchor>
    <xdr:from>
      <xdr:col>1</xdr:col>
      <xdr:colOff>12700</xdr:colOff>
      <xdr:row>104</xdr:row>
      <xdr:rowOff>12700</xdr:rowOff>
    </xdr:from>
    <xdr:to>
      <xdr:col>1</xdr:col>
      <xdr:colOff>99006</xdr:colOff>
      <xdr:row>104</xdr:row>
      <xdr:rowOff>127000</xdr:rowOff>
    </xdr:to>
    <xdr:sp macro="" textlink="">
      <xdr:nvSpPr>
        <xdr:cNvPr id="835" name="OpenSolver93"/>
        <xdr:cNvSpPr/>
      </xdr:nvSpPr>
      <xdr:spPr>
        <a:xfrm>
          <a:off x="622300" y="1982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</xdr:col>
      <xdr:colOff>12700</xdr:colOff>
      <xdr:row>105</xdr:row>
      <xdr:rowOff>12700</xdr:rowOff>
    </xdr:from>
    <xdr:to>
      <xdr:col>1</xdr:col>
      <xdr:colOff>99006</xdr:colOff>
      <xdr:row>105</xdr:row>
      <xdr:rowOff>127000</xdr:rowOff>
    </xdr:to>
    <xdr:sp macro="" textlink="">
      <xdr:nvSpPr>
        <xdr:cNvPr id="836" name="OpenSolver94"/>
        <xdr:cNvSpPr/>
      </xdr:nvSpPr>
      <xdr:spPr>
        <a:xfrm>
          <a:off x="622300" y="20015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</xdr:col>
      <xdr:colOff>12700</xdr:colOff>
      <xdr:row>107</xdr:row>
      <xdr:rowOff>12700</xdr:rowOff>
    </xdr:from>
    <xdr:to>
      <xdr:col>1</xdr:col>
      <xdr:colOff>99006</xdr:colOff>
      <xdr:row>107</xdr:row>
      <xdr:rowOff>127000</xdr:rowOff>
    </xdr:to>
    <xdr:sp macro="" textlink="">
      <xdr:nvSpPr>
        <xdr:cNvPr id="837" name="OpenSolver95"/>
        <xdr:cNvSpPr/>
      </xdr:nvSpPr>
      <xdr:spPr>
        <a:xfrm>
          <a:off x="622300" y="20396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</xdr:col>
      <xdr:colOff>12700</xdr:colOff>
      <xdr:row>108</xdr:row>
      <xdr:rowOff>12700</xdr:rowOff>
    </xdr:from>
    <xdr:to>
      <xdr:col>1</xdr:col>
      <xdr:colOff>99006</xdr:colOff>
      <xdr:row>108</xdr:row>
      <xdr:rowOff>127000</xdr:rowOff>
    </xdr:to>
    <xdr:sp macro="" textlink="">
      <xdr:nvSpPr>
        <xdr:cNvPr id="838" name="OpenSolver96"/>
        <xdr:cNvSpPr/>
      </xdr:nvSpPr>
      <xdr:spPr>
        <a:xfrm>
          <a:off x="622300" y="20586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U40" sqref="U4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9"/>
  <sheetViews>
    <sheetView topLeftCell="A37" workbookViewId="0">
      <selection activeCell="F45" sqref="F45"/>
    </sheetView>
  </sheetViews>
  <sheetFormatPr defaultRowHeight="15" x14ac:dyDescent="0.25"/>
  <cols>
    <col min="5" max="5" width="26.7109375" customWidth="1"/>
  </cols>
  <sheetData>
    <row r="1" spans="1:6" x14ac:dyDescent="0.25">
      <c r="A1" s="3" t="s">
        <v>10</v>
      </c>
      <c r="B1" s="4"/>
      <c r="E1" s="9" t="s">
        <v>90</v>
      </c>
      <c r="F1">
        <f>SUM(F2:F5)</f>
        <v>8</v>
      </c>
    </row>
    <row r="2" spans="1:6" x14ac:dyDescent="0.25">
      <c r="A2" s="4" t="s">
        <v>0</v>
      </c>
      <c r="B2" s="4">
        <v>2</v>
      </c>
      <c r="C2" s="7"/>
      <c r="E2" t="s">
        <v>91</v>
      </c>
      <c r="F2">
        <f>B31*B82</f>
        <v>2</v>
      </c>
    </row>
    <row r="3" spans="1:6" x14ac:dyDescent="0.25">
      <c r="A3" s="4" t="s">
        <v>1</v>
      </c>
      <c r="B3" s="4">
        <v>2</v>
      </c>
      <c r="C3" s="5"/>
      <c r="E3" t="s">
        <v>92</v>
      </c>
      <c r="F3">
        <f>B32*B83</f>
        <v>2</v>
      </c>
    </row>
    <row r="4" spans="1:6" x14ac:dyDescent="0.25">
      <c r="A4" s="4" t="s">
        <v>2</v>
      </c>
      <c r="B4" s="4">
        <v>2</v>
      </c>
      <c r="C4" s="7"/>
      <c r="E4" t="s">
        <v>93</v>
      </c>
      <c r="F4">
        <f>B33*B84</f>
        <v>2</v>
      </c>
    </row>
    <row r="5" spans="1:6" x14ac:dyDescent="0.25">
      <c r="A5" s="4" t="s">
        <v>3</v>
      </c>
      <c r="B5" s="4">
        <v>2</v>
      </c>
      <c r="E5" t="s">
        <v>94</v>
      </c>
      <c r="F5">
        <f>B34*B85</f>
        <v>2</v>
      </c>
    </row>
    <row r="6" spans="1:6" x14ac:dyDescent="0.25">
      <c r="A6" s="4" t="s">
        <v>4</v>
      </c>
      <c r="B6" s="4">
        <v>2</v>
      </c>
    </row>
    <row r="7" spans="1:6" x14ac:dyDescent="0.25">
      <c r="A7" s="4" t="s">
        <v>5</v>
      </c>
      <c r="B7" s="4">
        <v>2</v>
      </c>
      <c r="C7" s="7"/>
      <c r="E7" s="9" t="s">
        <v>95</v>
      </c>
      <c r="F7">
        <f>SUM(F8:F15)</f>
        <v>32</v>
      </c>
    </row>
    <row r="8" spans="1:6" x14ac:dyDescent="0.25">
      <c r="A8" s="2"/>
      <c r="B8" s="1"/>
      <c r="C8" s="1"/>
      <c r="D8" s="1"/>
      <c r="E8" t="s">
        <v>96</v>
      </c>
      <c r="F8">
        <f>(B26+B41)*B96</f>
        <v>6</v>
      </c>
    </row>
    <row r="9" spans="1:6" x14ac:dyDescent="0.25">
      <c r="A9" s="3" t="s">
        <v>11</v>
      </c>
      <c r="B9" s="1"/>
      <c r="C9" s="1"/>
      <c r="D9" s="1"/>
      <c r="E9" t="s">
        <v>97</v>
      </c>
      <c r="F9">
        <f>(B27+B42)*B97</f>
        <v>6</v>
      </c>
    </row>
    <row r="10" spans="1:6" x14ac:dyDescent="0.25">
      <c r="A10" s="2" t="s">
        <v>20</v>
      </c>
      <c r="B10" s="1">
        <v>2</v>
      </c>
      <c r="C10" s="7"/>
      <c r="D10" s="1"/>
      <c r="E10" t="s">
        <v>98</v>
      </c>
      <c r="F10">
        <f t="shared" ref="F10:F11" si="0">(B28+B43)*B98</f>
        <v>2</v>
      </c>
    </row>
    <row r="11" spans="1:6" x14ac:dyDescent="0.25">
      <c r="A11" s="2" t="s">
        <v>21</v>
      </c>
      <c r="B11" s="1">
        <v>2</v>
      </c>
      <c r="C11" s="1"/>
      <c r="D11" s="1"/>
      <c r="E11" t="s">
        <v>99</v>
      </c>
      <c r="F11">
        <f t="shared" si="0"/>
        <v>2</v>
      </c>
    </row>
    <row r="12" spans="1:6" x14ac:dyDescent="0.25">
      <c r="A12" s="2" t="s">
        <v>22</v>
      </c>
      <c r="B12" s="1">
        <v>2</v>
      </c>
      <c r="C12" s="7"/>
      <c r="D12" s="1"/>
      <c r="E12" t="s">
        <v>100</v>
      </c>
      <c r="F12">
        <f>(B26+B45)*B100</f>
        <v>6</v>
      </c>
    </row>
    <row r="13" spans="1:6" x14ac:dyDescent="0.25">
      <c r="A13" s="2" t="s">
        <v>23</v>
      </c>
      <c r="B13" s="1">
        <v>2</v>
      </c>
      <c r="C13" s="1"/>
      <c r="D13" s="1"/>
      <c r="E13" t="s">
        <v>101</v>
      </c>
      <c r="F13">
        <f>(B27+B46)*B101</f>
        <v>6</v>
      </c>
    </row>
    <row r="14" spans="1:6" x14ac:dyDescent="0.25">
      <c r="A14" s="2"/>
      <c r="B14" s="1"/>
      <c r="C14" s="1"/>
      <c r="D14" s="1"/>
      <c r="E14" t="s">
        <v>102</v>
      </c>
      <c r="F14">
        <f>(B28+B47)*B102</f>
        <v>2</v>
      </c>
    </row>
    <row r="15" spans="1:6" x14ac:dyDescent="0.25">
      <c r="A15" s="2" t="s">
        <v>12</v>
      </c>
      <c r="B15" s="1">
        <v>4</v>
      </c>
      <c r="C15" s="1"/>
      <c r="D15" s="1"/>
      <c r="E15" t="s">
        <v>103</v>
      </c>
      <c r="F15">
        <f>(B29+B48)*B103</f>
        <v>2</v>
      </c>
    </row>
    <row r="16" spans="1:6" x14ac:dyDescent="0.25">
      <c r="A16" s="2" t="s">
        <v>13</v>
      </c>
      <c r="B16" s="1">
        <v>4</v>
      </c>
      <c r="C16" s="1"/>
      <c r="D16" s="1"/>
    </row>
    <row r="17" spans="1:6" x14ac:dyDescent="0.25">
      <c r="A17" s="2"/>
      <c r="B17" s="1"/>
      <c r="C17" s="1"/>
      <c r="D17" s="1"/>
      <c r="E17" s="9" t="s">
        <v>104</v>
      </c>
      <c r="F17">
        <f>SUM(F18:F25)</f>
        <v>8</v>
      </c>
    </row>
    <row r="18" spans="1:6" x14ac:dyDescent="0.25">
      <c r="A18" s="2" t="s">
        <v>24</v>
      </c>
      <c r="B18" s="1">
        <v>1</v>
      </c>
      <c r="C18" s="7"/>
      <c r="D18" s="1"/>
      <c r="E18" t="s">
        <v>96</v>
      </c>
      <c r="F18">
        <f>B50*B87</f>
        <v>1</v>
      </c>
    </row>
    <row r="19" spans="1:6" x14ac:dyDescent="0.25">
      <c r="A19" s="2" t="s">
        <v>25</v>
      </c>
      <c r="B19" s="1">
        <v>1</v>
      </c>
      <c r="C19" s="1"/>
      <c r="D19" s="1"/>
      <c r="E19" t="s">
        <v>97</v>
      </c>
      <c r="F19">
        <f t="shared" ref="F19:F24" si="1">B51*B88</f>
        <v>1</v>
      </c>
    </row>
    <row r="20" spans="1:6" x14ac:dyDescent="0.25">
      <c r="A20" s="2"/>
      <c r="B20" s="1"/>
      <c r="C20" s="1"/>
      <c r="D20" s="1"/>
      <c r="E20" t="s">
        <v>98</v>
      </c>
      <c r="F20">
        <f t="shared" si="1"/>
        <v>1</v>
      </c>
    </row>
    <row r="21" spans="1:6" x14ac:dyDescent="0.25">
      <c r="A21" s="2" t="s">
        <v>26</v>
      </c>
      <c r="B21" s="1">
        <v>1</v>
      </c>
      <c r="C21" s="1"/>
      <c r="D21" s="1"/>
      <c r="E21" t="s">
        <v>99</v>
      </c>
      <c r="F21">
        <f t="shared" si="1"/>
        <v>1</v>
      </c>
    </row>
    <row r="22" spans="1:6" x14ac:dyDescent="0.25">
      <c r="A22" s="2" t="s">
        <v>27</v>
      </c>
      <c r="B22" s="1">
        <v>1</v>
      </c>
      <c r="C22" s="1"/>
      <c r="D22" s="1"/>
      <c r="E22" t="s">
        <v>100</v>
      </c>
      <c r="F22">
        <f t="shared" si="1"/>
        <v>1</v>
      </c>
    </row>
    <row r="23" spans="1:6" x14ac:dyDescent="0.25">
      <c r="A23" s="2" t="s">
        <v>28</v>
      </c>
      <c r="B23" s="1">
        <v>1</v>
      </c>
      <c r="C23" s="1"/>
      <c r="D23" s="1"/>
      <c r="E23" t="s">
        <v>101</v>
      </c>
      <c r="F23">
        <f t="shared" si="1"/>
        <v>1</v>
      </c>
    </row>
    <row r="24" spans="1:6" x14ac:dyDescent="0.25">
      <c r="A24" s="2" t="s">
        <v>29</v>
      </c>
      <c r="B24" s="1">
        <v>1</v>
      </c>
      <c r="C24" s="1"/>
      <c r="D24" s="1"/>
      <c r="E24" t="s">
        <v>102</v>
      </c>
      <c r="F24">
        <f t="shared" si="1"/>
        <v>1</v>
      </c>
    </row>
    <row r="25" spans="1:6" x14ac:dyDescent="0.25">
      <c r="A25" s="2"/>
      <c r="B25" s="1"/>
      <c r="C25" s="1"/>
      <c r="D25" s="1"/>
      <c r="E25" t="s">
        <v>103</v>
      </c>
      <c r="F25">
        <f>B57*B94</f>
        <v>1</v>
      </c>
    </row>
    <row r="26" spans="1:6" x14ac:dyDescent="0.25">
      <c r="A26" s="2" t="s">
        <v>30</v>
      </c>
      <c r="B26" s="1">
        <v>1</v>
      </c>
      <c r="C26" s="1"/>
      <c r="D26" s="1"/>
    </row>
    <row r="27" spans="1:6" x14ac:dyDescent="0.25">
      <c r="A27" s="2" t="s">
        <v>31</v>
      </c>
      <c r="B27" s="1">
        <v>1</v>
      </c>
      <c r="C27" s="1"/>
      <c r="D27" s="1"/>
      <c r="E27" s="9" t="s">
        <v>105</v>
      </c>
      <c r="F27">
        <f>SUM(F28:F35)</f>
        <v>16</v>
      </c>
    </row>
    <row r="28" spans="1:6" x14ac:dyDescent="0.25">
      <c r="A28" s="2" t="s">
        <v>32</v>
      </c>
      <c r="B28" s="1">
        <v>1</v>
      </c>
      <c r="C28" s="1"/>
      <c r="D28" s="1"/>
      <c r="E28" t="s">
        <v>96</v>
      </c>
      <c r="F28">
        <f>(B36+B59)*B73</f>
        <v>2</v>
      </c>
    </row>
    <row r="29" spans="1:6" x14ac:dyDescent="0.25">
      <c r="A29" s="2" t="s">
        <v>33</v>
      </c>
      <c r="B29" s="1">
        <v>1</v>
      </c>
      <c r="C29" s="1"/>
      <c r="D29" s="1"/>
      <c r="E29" t="s">
        <v>97</v>
      </c>
      <c r="F29">
        <f>(B36+B60)*B74</f>
        <v>2</v>
      </c>
    </row>
    <row r="30" spans="1:6" x14ac:dyDescent="0.25">
      <c r="A30" s="2"/>
      <c r="B30" s="1"/>
      <c r="C30" s="1"/>
      <c r="D30" s="1"/>
      <c r="E30" t="s">
        <v>98</v>
      </c>
      <c r="F30">
        <f>(B37+B61)*B75</f>
        <v>2</v>
      </c>
    </row>
    <row r="31" spans="1:6" x14ac:dyDescent="0.25">
      <c r="A31" s="2" t="s">
        <v>34</v>
      </c>
      <c r="B31" s="1">
        <v>1</v>
      </c>
      <c r="C31" s="1"/>
      <c r="D31" s="1"/>
      <c r="E31" t="s">
        <v>99</v>
      </c>
      <c r="F31">
        <f>(B37+B62)*B76</f>
        <v>2</v>
      </c>
    </row>
    <row r="32" spans="1:6" x14ac:dyDescent="0.25">
      <c r="A32" s="2" t="s">
        <v>35</v>
      </c>
      <c r="B32" s="1">
        <v>1</v>
      </c>
      <c r="C32" s="1"/>
      <c r="D32" s="1"/>
      <c r="E32" t="s">
        <v>100</v>
      </c>
      <c r="F32">
        <f>(B38+B59)*B77</f>
        <v>2</v>
      </c>
    </row>
    <row r="33" spans="1:6" x14ac:dyDescent="0.25">
      <c r="A33" s="2" t="s">
        <v>36</v>
      </c>
      <c r="B33" s="1">
        <v>1</v>
      </c>
      <c r="C33" s="1"/>
      <c r="D33" s="1"/>
      <c r="E33" t="s">
        <v>101</v>
      </c>
      <c r="F33">
        <f>(B38+B60)*B78</f>
        <v>2</v>
      </c>
    </row>
    <row r="34" spans="1:6" x14ac:dyDescent="0.25">
      <c r="A34" s="2" t="s">
        <v>37</v>
      </c>
      <c r="B34" s="1">
        <v>1</v>
      </c>
      <c r="C34" s="1"/>
      <c r="D34" s="1"/>
      <c r="E34" t="s">
        <v>102</v>
      </c>
      <c r="F34">
        <f>(B39+B61)*B79</f>
        <v>2</v>
      </c>
    </row>
    <row r="35" spans="1:6" x14ac:dyDescent="0.25">
      <c r="A35" s="2"/>
      <c r="B35" s="1"/>
      <c r="C35" s="1"/>
      <c r="D35" s="1"/>
      <c r="E35" t="s">
        <v>103</v>
      </c>
      <c r="F35">
        <f t="shared" ref="F35" si="2">(B39+B62)*B80</f>
        <v>2</v>
      </c>
    </row>
    <row r="36" spans="1:6" x14ac:dyDescent="0.25">
      <c r="A36" s="2" t="s">
        <v>38</v>
      </c>
      <c r="B36" s="1">
        <v>1</v>
      </c>
      <c r="C36" s="1"/>
      <c r="D36" s="1"/>
    </row>
    <row r="37" spans="1:6" x14ac:dyDescent="0.25">
      <c r="A37" s="2" t="s">
        <v>39</v>
      </c>
      <c r="B37" s="1">
        <v>1</v>
      </c>
      <c r="C37" s="1"/>
      <c r="D37" s="1"/>
      <c r="E37" s="9" t="s">
        <v>106</v>
      </c>
      <c r="F37">
        <f>SUM(F38:F39)</f>
        <v>2</v>
      </c>
    </row>
    <row r="38" spans="1:6" x14ac:dyDescent="0.25">
      <c r="A38" s="2" t="s">
        <v>40</v>
      </c>
      <c r="B38" s="1">
        <v>1</v>
      </c>
      <c r="C38" s="1"/>
      <c r="D38" s="1"/>
      <c r="E38" s="8">
        <v>1</v>
      </c>
      <c r="F38">
        <f>B64*B105</f>
        <v>1</v>
      </c>
    </row>
    <row r="39" spans="1:6" x14ac:dyDescent="0.25">
      <c r="A39" s="2" t="s">
        <v>41</v>
      </c>
      <c r="B39" s="1">
        <v>1</v>
      </c>
      <c r="C39" s="1"/>
      <c r="D39" s="5"/>
      <c r="E39" s="8">
        <v>2</v>
      </c>
      <c r="F39">
        <f>B65*B106</f>
        <v>1</v>
      </c>
    </row>
    <row r="40" spans="1:6" x14ac:dyDescent="0.25">
      <c r="A40" s="2"/>
      <c r="B40" s="1"/>
      <c r="C40" s="1"/>
      <c r="D40" s="5"/>
    </row>
    <row r="41" spans="1:6" x14ac:dyDescent="0.25">
      <c r="A41" s="2" t="s">
        <v>42</v>
      </c>
      <c r="B41" s="1">
        <v>1</v>
      </c>
      <c r="C41" s="1"/>
      <c r="D41" s="5"/>
      <c r="E41" s="9" t="s">
        <v>107</v>
      </c>
      <c r="F41">
        <f>SUM(F42:F43)</f>
        <v>2</v>
      </c>
    </row>
    <row r="42" spans="1:6" x14ac:dyDescent="0.25">
      <c r="A42" s="2" t="s">
        <v>43</v>
      </c>
      <c r="B42" s="1">
        <v>1</v>
      </c>
      <c r="C42" s="1"/>
      <c r="D42" s="5"/>
      <c r="E42" s="8">
        <v>1</v>
      </c>
      <c r="F42">
        <f>B67*B108</f>
        <v>1</v>
      </c>
    </row>
    <row r="43" spans="1:6" x14ac:dyDescent="0.25">
      <c r="A43" s="2" t="s">
        <v>44</v>
      </c>
      <c r="B43" s="1">
        <v>1</v>
      </c>
      <c r="C43" s="1"/>
      <c r="D43" s="5"/>
      <c r="E43" s="8">
        <v>2</v>
      </c>
      <c r="F43">
        <f>B68*B109</f>
        <v>1</v>
      </c>
    </row>
    <row r="44" spans="1:6" x14ac:dyDescent="0.25">
      <c r="A44" s="2" t="s">
        <v>45</v>
      </c>
      <c r="B44" s="1">
        <v>1</v>
      </c>
      <c r="C44" s="1"/>
      <c r="D44" s="5"/>
    </row>
    <row r="45" spans="1:6" x14ac:dyDescent="0.25">
      <c r="A45" s="2" t="s">
        <v>46</v>
      </c>
      <c r="B45" s="1">
        <v>1</v>
      </c>
      <c r="C45" s="1"/>
      <c r="D45" s="5"/>
      <c r="E45" t="s">
        <v>108</v>
      </c>
      <c r="F45">
        <f>F1+F7+F17+F27+F37+F41</f>
        <v>68</v>
      </c>
    </row>
    <row r="46" spans="1:6" x14ac:dyDescent="0.25">
      <c r="A46" s="2" t="s">
        <v>47</v>
      </c>
      <c r="B46" s="1">
        <v>1</v>
      </c>
      <c r="C46" s="1"/>
      <c r="D46" s="5"/>
    </row>
    <row r="47" spans="1:6" x14ac:dyDescent="0.25">
      <c r="A47" s="2" t="s">
        <v>48</v>
      </c>
      <c r="B47" s="1">
        <v>1</v>
      </c>
      <c r="C47" s="1"/>
      <c r="D47" s="5"/>
    </row>
    <row r="48" spans="1:6" x14ac:dyDescent="0.25">
      <c r="A48" s="2" t="s">
        <v>49</v>
      </c>
      <c r="B48" s="1">
        <v>1</v>
      </c>
      <c r="C48" s="1"/>
      <c r="D48" s="5"/>
    </row>
    <row r="49" spans="1:8" x14ac:dyDescent="0.25">
      <c r="A49" s="2"/>
      <c r="B49" s="1"/>
      <c r="C49" s="1"/>
      <c r="D49" s="5"/>
      <c r="E49" s="6" t="s">
        <v>109</v>
      </c>
    </row>
    <row r="50" spans="1:8" x14ac:dyDescent="0.25">
      <c r="A50" s="2" t="s">
        <v>50</v>
      </c>
      <c r="B50" s="1">
        <v>1</v>
      </c>
      <c r="C50" s="1"/>
      <c r="D50" s="5"/>
      <c r="E50" t="s">
        <v>110</v>
      </c>
    </row>
    <row r="51" spans="1:8" x14ac:dyDescent="0.25">
      <c r="A51" s="2" t="s">
        <v>51</v>
      </c>
      <c r="B51" s="1">
        <v>1</v>
      </c>
      <c r="C51" s="1"/>
      <c r="D51" s="1"/>
      <c r="E51" t="s">
        <v>91</v>
      </c>
      <c r="F51">
        <f>SUM(B73,B75)</f>
        <v>2</v>
      </c>
      <c r="G51">
        <f>B10</f>
        <v>2</v>
      </c>
      <c r="H51" t="b">
        <f>IF(F51&lt;=G51,TRUE,FALSE)</f>
        <v>1</v>
      </c>
    </row>
    <row r="52" spans="1:8" x14ac:dyDescent="0.25">
      <c r="A52" s="2" t="s">
        <v>52</v>
      </c>
      <c r="B52" s="1">
        <v>1</v>
      </c>
      <c r="C52" s="1"/>
      <c r="D52" s="1"/>
      <c r="E52" t="s">
        <v>92</v>
      </c>
      <c r="F52">
        <f>SUM(B74,B76)</f>
        <v>2</v>
      </c>
      <c r="G52">
        <f>B11</f>
        <v>2</v>
      </c>
      <c r="H52" t="b">
        <f t="shared" ref="H52:H54" si="3">IF(F52&lt;=G52,TRUE,FALSE)</f>
        <v>1</v>
      </c>
    </row>
    <row r="53" spans="1:8" x14ac:dyDescent="0.25">
      <c r="A53" s="2" t="s">
        <v>53</v>
      </c>
      <c r="B53" s="1">
        <v>1</v>
      </c>
      <c r="C53" s="1"/>
      <c r="D53" s="1"/>
      <c r="E53" t="s">
        <v>93</v>
      </c>
      <c r="F53">
        <f>SUM(B77,B79)</f>
        <v>2</v>
      </c>
      <c r="G53">
        <f>B12</f>
        <v>2</v>
      </c>
      <c r="H53" t="b">
        <f t="shared" si="3"/>
        <v>1</v>
      </c>
    </row>
    <row r="54" spans="1:8" x14ac:dyDescent="0.25">
      <c r="A54" s="2" t="s">
        <v>54</v>
      </c>
      <c r="B54" s="1">
        <v>1</v>
      </c>
      <c r="C54" s="1"/>
      <c r="D54" s="1"/>
      <c r="E54" t="s">
        <v>94</v>
      </c>
      <c r="F54">
        <f>SUM(B78,B80)</f>
        <v>2</v>
      </c>
      <c r="G54">
        <f>B13</f>
        <v>2</v>
      </c>
      <c r="H54" t="b">
        <f t="shared" si="3"/>
        <v>1</v>
      </c>
    </row>
    <row r="55" spans="1:8" x14ac:dyDescent="0.25">
      <c r="A55" s="2" t="s">
        <v>55</v>
      </c>
      <c r="B55" s="1">
        <v>1</v>
      </c>
      <c r="C55" s="1"/>
      <c r="D55" s="1"/>
    </row>
    <row r="56" spans="1:8" x14ac:dyDescent="0.25">
      <c r="A56" s="2" t="s">
        <v>56</v>
      </c>
      <c r="B56" s="1">
        <v>1</v>
      </c>
      <c r="C56" s="1"/>
      <c r="D56" s="1"/>
      <c r="E56" s="6" t="s">
        <v>112</v>
      </c>
    </row>
    <row r="57" spans="1:8" x14ac:dyDescent="0.25">
      <c r="A57" s="2" t="s">
        <v>57</v>
      </c>
      <c r="B57" s="1">
        <v>1</v>
      </c>
      <c r="C57" s="1"/>
      <c r="D57" s="1"/>
      <c r="E57" t="s">
        <v>111</v>
      </c>
    </row>
    <row r="58" spans="1:8" x14ac:dyDescent="0.25">
      <c r="A58" s="2"/>
      <c r="B58" s="1"/>
      <c r="C58" s="1"/>
      <c r="D58" s="1"/>
      <c r="E58" t="s">
        <v>91</v>
      </c>
      <c r="F58">
        <f>SUM(B73,B75)</f>
        <v>2</v>
      </c>
      <c r="G58">
        <f>SUM(B87,B89)</f>
        <v>2</v>
      </c>
      <c r="H58" t="b">
        <f>IF(F58&lt;=G58,TRUE,FALSE)</f>
        <v>1</v>
      </c>
    </row>
    <row r="59" spans="1:8" x14ac:dyDescent="0.25">
      <c r="A59" s="2" t="s">
        <v>58</v>
      </c>
      <c r="B59" s="1">
        <v>1</v>
      </c>
      <c r="C59" s="1"/>
      <c r="D59" s="1"/>
      <c r="E59" t="s">
        <v>92</v>
      </c>
      <c r="F59">
        <f>SUM(B74,B76)</f>
        <v>2</v>
      </c>
      <c r="G59">
        <f>SUM(B88,B90)</f>
        <v>2</v>
      </c>
      <c r="H59" t="b">
        <f>IF(F59&lt;=G59,TRUE,FALSE)</f>
        <v>1</v>
      </c>
    </row>
    <row r="60" spans="1:8" x14ac:dyDescent="0.25">
      <c r="A60" s="2" t="s">
        <v>59</v>
      </c>
      <c r="B60" s="1">
        <v>1</v>
      </c>
      <c r="C60" s="1"/>
      <c r="D60" s="1"/>
      <c r="E60" t="s">
        <v>93</v>
      </c>
      <c r="F60">
        <f>SUM(B77,B79)</f>
        <v>2</v>
      </c>
      <c r="G60">
        <f>SUM(B91,B93)</f>
        <v>2</v>
      </c>
      <c r="H60" t="b">
        <f>IF(F60&lt;=G60,TRUE,FALSE)</f>
        <v>1</v>
      </c>
    </row>
    <row r="61" spans="1:8" x14ac:dyDescent="0.25">
      <c r="A61" s="2" t="s">
        <v>60</v>
      </c>
      <c r="B61" s="1">
        <v>1</v>
      </c>
      <c r="C61" s="1"/>
      <c r="D61" s="1"/>
      <c r="E61" t="s">
        <v>94</v>
      </c>
      <c r="F61">
        <f>SUM(B80,B78)</f>
        <v>2</v>
      </c>
      <c r="G61">
        <f>SUM(B92,B94)</f>
        <v>2</v>
      </c>
      <c r="H61" t="b">
        <f>IF(F61&lt;=G61,TRUE,FALSE)</f>
        <v>1</v>
      </c>
    </row>
    <row r="62" spans="1:8" x14ac:dyDescent="0.25">
      <c r="A62" s="2" t="s">
        <v>61</v>
      </c>
      <c r="B62" s="1">
        <v>1</v>
      </c>
      <c r="C62" s="1"/>
      <c r="D62" s="1"/>
    </row>
    <row r="63" spans="1:8" x14ac:dyDescent="0.25">
      <c r="A63" s="2"/>
      <c r="B63" s="1"/>
      <c r="C63" s="1"/>
      <c r="D63" s="1"/>
      <c r="E63" s="6" t="s">
        <v>113</v>
      </c>
    </row>
    <row r="64" spans="1:8" x14ac:dyDescent="0.25">
      <c r="A64" s="2" t="s">
        <v>14</v>
      </c>
      <c r="B64" s="1">
        <v>1</v>
      </c>
      <c r="C64" s="1"/>
      <c r="D64" s="1"/>
      <c r="E64" t="s">
        <v>116</v>
      </c>
    </row>
    <row r="65" spans="1:8" x14ac:dyDescent="0.25">
      <c r="A65" s="2" t="s">
        <v>15</v>
      </c>
      <c r="B65" s="1">
        <v>1</v>
      </c>
      <c r="C65" s="1"/>
      <c r="D65" s="1"/>
      <c r="E65" t="s">
        <v>91</v>
      </c>
      <c r="F65">
        <f>SUM(B87,B88)</f>
        <v>2</v>
      </c>
      <c r="G65">
        <f>B82</f>
        <v>2</v>
      </c>
      <c r="H65" t="b">
        <f t="shared" ref="H65:H68" si="4">IF(F65&lt;=G65,TRUE,FALSE)</f>
        <v>1</v>
      </c>
    </row>
    <row r="66" spans="1:8" x14ac:dyDescent="0.25">
      <c r="A66" s="2"/>
      <c r="B66" s="1"/>
      <c r="C66" s="1"/>
      <c r="D66" s="1"/>
      <c r="E66" t="s">
        <v>92</v>
      </c>
      <c r="F66">
        <f>SUM(B89,B90)</f>
        <v>2</v>
      </c>
      <c r="G66">
        <f t="shared" ref="G66:G68" si="5">B83</f>
        <v>2</v>
      </c>
      <c r="H66" t="b">
        <f t="shared" si="4"/>
        <v>1</v>
      </c>
    </row>
    <row r="67" spans="1:8" x14ac:dyDescent="0.25">
      <c r="A67" s="2" t="s">
        <v>16</v>
      </c>
      <c r="B67" s="1">
        <v>1</v>
      </c>
      <c r="C67" s="1"/>
      <c r="D67" s="1"/>
      <c r="E67" t="s">
        <v>93</v>
      </c>
      <c r="F67">
        <f>SUM(B91,B92)</f>
        <v>2</v>
      </c>
      <c r="G67">
        <f t="shared" si="5"/>
        <v>2</v>
      </c>
      <c r="H67" t="b">
        <f t="shared" si="4"/>
        <v>1</v>
      </c>
    </row>
    <row r="68" spans="1:8" x14ac:dyDescent="0.25">
      <c r="A68" s="2" t="s">
        <v>17</v>
      </c>
      <c r="B68" s="1">
        <v>1</v>
      </c>
      <c r="C68" s="1"/>
      <c r="D68" s="1"/>
      <c r="E68" t="s">
        <v>94</v>
      </c>
      <c r="F68">
        <f>SUM(B93,B94)</f>
        <v>2</v>
      </c>
      <c r="G68">
        <f t="shared" si="5"/>
        <v>2</v>
      </c>
      <c r="H68" t="b">
        <f t="shared" si="4"/>
        <v>1</v>
      </c>
    </row>
    <row r="69" spans="1:8" x14ac:dyDescent="0.25">
      <c r="A69" s="2"/>
      <c r="B69" s="1"/>
      <c r="C69" s="1"/>
      <c r="D69" s="1"/>
    </row>
    <row r="70" spans="1:8" x14ac:dyDescent="0.25">
      <c r="A70" s="2" t="s">
        <v>18</v>
      </c>
      <c r="B70" s="1">
        <v>10</v>
      </c>
      <c r="C70" s="1"/>
      <c r="D70" s="1"/>
      <c r="E70" s="6" t="s">
        <v>114</v>
      </c>
    </row>
    <row r="71" spans="1:8" x14ac:dyDescent="0.25">
      <c r="A71" s="2"/>
      <c r="B71" s="1"/>
      <c r="C71" s="1"/>
      <c r="D71" s="1"/>
      <c r="E71" t="s">
        <v>115</v>
      </c>
    </row>
    <row r="72" spans="1:8" x14ac:dyDescent="0.25">
      <c r="A72" s="3" t="s">
        <v>19</v>
      </c>
      <c r="B72" s="1"/>
      <c r="C72" s="1"/>
      <c r="D72" s="1"/>
      <c r="E72" s="8">
        <v>1</v>
      </c>
      <c r="F72">
        <f>SUM(B18*B82, B19*B84)</f>
        <v>4</v>
      </c>
      <c r="G72">
        <f>B15*B105</f>
        <v>4</v>
      </c>
      <c r="H72" t="b">
        <f t="shared" ref="H72:H73" si="6">IF(F72&lt;=G72,TRUE,FALSE)</f>
        <v>1</v>
      </c>
    </row>
    <row r="73" spans="1:8" x14ac:dyDescent="0.25">
      <c r="A73" s="2" t="s">
        <v>62</v>
      </c>
      <c r="B73" s="1">
        <v>1</v>
      </c>
      <c r="C73" s="1"/>
      <c r="D73" s="1"/>
      <c r="E73" s="8">
        <v>2</v>
      </c>
      <c r="F73">
        <f>SUM(B18*B83, B19*B85)</f>
        <v>4</v>
      </c>
      <c r="G73">
        <f>B16*B106</f>
        <v>4</v>
      </c>
      <c r="H73" t="b">
        <f t="shared" si="6"/>
        <v>1</v>
      </c>
    </row>
    <row r="74" spans="1:8" x14ac:dyDescent="0.25">
      <c r="A74" s="2" t="s">
        <v>63</v>
      </c>
      <c r="B74" s="1">
        <v>1</v>
      </c>
      <c r="C74" s="1"/>
      <c r="D74" s="1"/>
    </row>
    <row r="75" spans="1:8" x14ac:dyDescent="0.25">
      <c r="A75" s="2" t="s">
        <v>64</v>
      </c>
      <c r="B75" s="1">
        <v>1</v>
      </c>
      <c r="C75" s="1"/>
      <c r="D75" s="1"/>
      <c r="E75" s="6" t="s">
        <v>117</v>
      </c>
    </row>
    <row r="76" spans="1:8" x14ac:dyDescent="0.25">
      <c r="A76" s="2" t="s">
        <v>65</v>
      </c>
      <c r="B76" s="1">
        <v>1</v>
      </c>
      <c r="C76" s="1"/>
      <c r="D76" s="1"/>
      <c r="E76" t="s">
        <v>118</v>
      </c>
    </row>
    <row r="77" spans="1:8" x14ac:dyDescent="0.25">
      <c r="A77" s="2" t="s">
        <v>66</v>
      </c>
      <c r="B77" s="1">
        <v>1</v>
      </c>
      <c r="C77" s="1"/>
      <c r="D77" s="1"/>
      <c r="E77" t="s">
        <v>91</v>
      </c>
      <c r="F77">
        <f>SUM(B21*B82, B23*B84)</f>
        <v>4</v>
      </c>
      <c r="G77">
        <f>SUM(B96,B98)</f>
        <v>4</v>
      </c>
      <c r="H77" t="b">
        <f t="shared" ref="H77:H80" si="7">IF(F77&lt;=G77,TRUE,FALSE)</f>
        <v>1</v>
      </c>
    </row>
    <row r="78" spans="1:8" x14ac:dyDescent="0.25">
      <c r="A78" s="2" t="s">
        <v>67</v>
      </c>
      <c r="B78" s="1">
        <v>1</v>
      </c>
      <c r="C78" s="1"/>
      <c r="D78" s="1"/>
      <c r="E78" t="s">
        <v>92</v>
      </c>
      <c r="F78">
        <f>SUM(B21*B83, B23*B85)</f>
        <v>4</v>
      </c>
      <c r="G78">
        <f>SUM(B97,B99)</f>
        <v>4</v>
      </c>
      <c r="H78" t="b">
        <f t="shared" si="7"/>
        <v>1</v>
      </c>
    </row>
    <row r="79" spans="1:8" x14ac:dyDescent="0.25">
      <c r="A79" s="2" t="s">
        <v>68</v>
      </c>
      <c r="B79" s="1">
        <v>1</v>
      </c>
      <c r="C79" s="1"/>
      <c r="D79" s="1"/>
      <c r="E79" t="s">
        <v>93</v>
      </c>
      <c r="F79">
        <f>SUM(B22*B82, B24*B84)</f>
        <v>4</v>
      </c>
      <c r="G79">
        <f>SUM(B100,B102)</f>
        <v>4</v>
      </c>
      <c r="H79" t="b">
        <f t="shared" si="7"/>
        <v>1</v>
      </c>
    </row>
    <row r="80" spans="1:8" x14ac:dyDescent="0.25">
      <c r="A80" s="2" t="s">
        <v>69</v>
      </c>
      <c r="B80" s="1">
        <v>1</v>
      </c>
      <c r="C80" s="1"/>
      <c r="D80" s="1"/>
      <c r="E80" t="s">
        <v>94</v>
      </c>
      <c r="F80">
        <f>SUM(B22*B83,B24*B85)</f>
        <v>4</v>
      </c>
      <c r="G80">
        <f>SUM(B103,B101)</f>
        <v>4</v>
      </c>
      <c r="H80" t="b">
        <f t="shared" si="7"/>
        <v>1</v>
      </c>
    </row>
    <row r="81" spans="1:7" x14ac:dyDescent="0.25">
      <c r="A81" s="2"/>
      <c r="B81" s="1"/>
      <c r="C81" s="1"/>
      <c r="D81" s="1"/>
    </row>
    <row r="82" spans="1:7" x14ac:dyDescent="0.25">
      <c r="A82" s="2" t="s">
        <v>70</v>
      </c>
      <c r="B82" s="1">
        <v>2</v>
      </c>
      <c r="C82" s="1"/>
      <c r="D82" s="1"/>
      <c r="E82" s="6" t="s">
        <v>119</v>
      </c>
    </row>
    <row r="83" spans="1:7" x14ac:dyDescent="0.25">
      <c r="A83" s="2" t="s">
        <v>71</v>
      </c>
      <c r="B83" s="1">
        <v>2</v>
      </c>
      <c r="C83" s="1"/>
      <c r="D83" s="1"/>
      <c r="E83" t="s">
        <v>120</v>
      </c>
    </row>
    <row r="84" spans="1:7" x14ac:dyDescent="0.25">
      <c r="A84" s="2" t="s">
        <v>72</v>
      </c>
      <c r="B84" s="1">
        <v>2</v>
      </c>
      <c r="C84" s="1"/>
      <c r="D84" s="1"/>
      <c r="E84" s="8">
        <v>1</v>
      </c>
      <c r="F84">
        <f>SUM(B73,B74,B77,B78)</f>
        <v>4</v>
      </c>
      <c r="G84">
        <f>B70*B108</f>
        <v>10</v>
      </c>
    </row>
    <row r="85" spans="1:7" x14ac:dyDescent="0.25">
      <c r="A85" s="2" t="s">
        <v>73</v>
      </c>
      <c r="B85" s="1">
        <v>2</v>
      </c>
      <c r="C85" s="1"/>
      <c r="D85" s="1"/>
      <c r="E85" s="8">
        <v>2</v>
      </c>
      <c r="F85">
        <f>SUM(B75,B76,B79,B80)</f>
        <v>4</v>
      </c>
      <c r="G85">
        <f>B70*B109</f>
        <v>10</v>
      </c>
    </row>
    <row r="86" spans="1:7" x14ac:dyDescent="0.25">
      <c r="A86" s="2"/>
      <c r="B86" s="1"/>
      <c r="C86" s="1"/>
      <c r="D86" s="1"/>
    </row>
    <row r="87" spans="1:7" x14ac:dyDescent="0.25">
      <c r="A87" s="2" t="s">
        <v>74</v>
      </c>
      <c r="B87" s="1">
        <v>1</v>
      </c>
      <c r="C87" s="1"/>
      <c r="D87" s="1"/>
      <c r="E87" s="6" t="s">
        <v>123</v>
      </c>
    </row>
    <row r="88" spans="1:7" x14ac:dyDescent="0.25">
      <c r="A88" s="2" t="s">
        <v>75</v>
      </c>
      <c r="B88" s="1">
        <v>1</v>
      </c>
      <c r="C88" s="1"/>
      <c r="D88" s="1"/>
      <c r="E88" t="s">
        <v>121</v>
      </c>
    </row>
    <row r="89" spans="1:7" x14ac:dyDescent="0.25">
      <c r="A89" s="2" t="s">
        <v>76</v>
      </c>
      <c r="B89" s="1">
        <v>1</v>
      </c>
      <c r="C89" s="1"/>
      <c r="D89" s="1"/>
      <c r="E89" s="8">
        <v>1</v>
      </c>
      <c r="F89">
        <f>B105</f>
        <v>1</v>
      </c>
    </row>
    <row r="90" spans="1:7" x14ac:dyDescent="0.25">
      <c r="A90" s="2" t="s">
        <v>77</v>
      </c>
      <c r="B90" s="1">
        <v>1</v>
      </c>
      <c r="C90" s="1"/>
      <c r="D90" s="1"/>
      <c r="E90" s="8">
        <v>2</v>
      </c>
      <c r="F90">
        <f>B106</f>
        <v>1</v>
      </c>
    </row>
    <row r="91" spans="1:7" x14ac:dyDescent="0.25">
      <c r="A91" s="2" t="s">
        <v>78</v>
      </c>
      <c r="B91" s="1">
        <v>1</v>
      </c>
      <c r="C91" s="1"/>
      <c r="D91" s="1"/>
    </row>
    <row r="92" spans="1:7" x14ac:dyDescent="0.25">
      <c r="A92" s="2" t="s">
        <v>79</v>
      </c>
      <c r="B92" s="1">
        <v>1</v>
      </c>
      <c r="C92" s="1"/>
      <c r="D92" s="1"/>
      <c r="E92" s="6" t="s">
        <v>124</v>
      </c>
    </row>
    <row r="93" spans="1:7" x14ac:dyDescent="0.25">
      <c r="A93" s="2" t="s">
        <v>80</v>
      </c>
      <c r="B93" s="1">
        <v>1</v>
      </c>
      <c r="C93" s="1"/>
      <c r="D93" s="1"/>
      <c r="E93" s="8" t="s">
        <v>122</v>
      </c>
    </row>
    <row r="94" spans="1:7" x14ac:dyDescent="0.25">
      <c r="A94" s="2" t="s">
        <v>81</v>
      </c>
      <c r="B94" s="1">
        <v>1</v>
      </c>
      <c r="C94" s="1"/>
      <c r="D94" s="1"/>
      <c r="E94" s="8">
        <v>1</v>
      </c>
      <c r="F94">
        <f>B108</f>
        <v>1</v>
      </c>
    </row>
    <row r="95" spans="1:7" x14ac:dyDescent="0.25">
      <c r="A95" s="2"/>
      <c r="B95" s="1"/>
      <c r="C95" s="1"/>
      <c r="D95" s="1"/>
      <c r="E95" s="8">
        <v>2</v>
      </c>
      <c r="F95">
        <f>B109</f>
        <v>1</v>
      </c>
    </row>
    <row r="96" spans="1:7" x14ac:dyDescent="0.25">
      <c r="A96" s="2" t="s">
        <v>82</v>
      </c>
      <c r="B96" s="1">
        <v>3</v>
      </c>
      <c r="C96" s="1"/>
      <c r="D96" s="1"/>
    </row>
    <row r="97" spans="1:5" x14ac:dyDescent="0.25">
      <c r="A97" s="2" t="s">
        <v>83</v>
      </c>
      <c r="B97" s="1">
        <v>3</v>
      </c>
      <c r="C97" s="1"/>
      <c r="D97" s="1"/>
    </row>
    <row r="98" spans="1:5" x14ac:dyDescent="0.25">
      <c r="A98" s="2" t="s">
        <v>84</v>
      </c>
      <c r="B98" s="1">
        <v>1</v>
      </c>
      <c r="C98" s="1"/>
      <c r="D98" s="1"/>
      <c r="E98" s="6" t="s">
        <v>125</v>
      </c>
    </row>
    <row r="99" spans="1:5" x14ac:dyDescent="0.25">
      <c r="A99" s="2" t="s">
        <v>85</v>
      </c>
      <c r="B99" s="1">
        <v>1</v>
      </c>
      <c r="C99" s="1"/>
      <c r="D99" s="1"/>
    </row>
    <row r="100" spans="1:5" x14ac:dyDescent="0.25">
      <c r="A100" s="2" t="s">
        <v>86</v>
      </c>
      <c r="B100" s="1">
        <v>3</v>
      </c>
      <c r="C100" s="1"/>
      <c r="D100" s="1"/>
    </row>
    <row r="101" spans="1:5" x14ac:dyDescent="0.25">
      <c r="A101" s="2" t="s">
        <v>87</v>
      </c>
      <c r="B101" s="1">
        <v>3</v>
      </c>
      <c r="C101" s="1"/>
      <c r="D101" s="1"/>
      <c r="E101" s="6"/>
    </row>
    <row r="102" spans="1:5" x14ac:dyDescent="0.25">
      <c r="A102" s="2" t="s">
        <v>88</v>
      </c>
      <c r="B102" s="1">
        <v>1</v>
      </c>
      <c r="C102" s="1"/>
      <c r="D102" s="1"/>
    </row>
    <row r="103" spans="1:5" x14ac:dyDescent="0.25">
      <c r="A103" s="2" t="s">
        <v>89</v>
      </c>
      <c r="B103" s="1">
        <v>1</v>
      </c>
      <c r="C103" s="1"/>
      <c r="D103" s="1"/>
    </row>
    <row r="104" spans="1:5" x14ac:dyDescent="0.25">
      <c r="A104" s="2"/>
      <c r="B104" s="1"/>
      <c r="C104" s="1"/>
      <c r="D104" s="1"/>
    </row>
    <row r="105" spans="1:5" x14ac:dyDescent="0.25">
      <c r="A105" s="2" t="s">
        <v>6</v>
      </c>
      <c r="B105" s="1">
        <v>1</v>
      </c>
      <c r="C105" s="1"/>
      <c r="D105" s="1"/>
    </row>
    <row r="106" spans="1:5" x14ac:dyDescent="0.25">
      <c r="A106" s="2" t="s">
        <v>7</v>
      </c>
      <c r="B106" s="1">
        <v>1</v>
      </c>
      <c r="C106" s="1"/>
      <c r="D106" s="1"/>
    </row>
    <row r="107" spans="1:5" x14ac:dyDescent="0.25">
      <c r="A107" s="2"/>
      <c r="B107" s="1"/>
      <c r="C107" s="1"/>
      <c r="D107" s="1"/>
    </row>
    <row r="108" spans="1:5" x14ac:dyDescent="0.25">
      <c r="A108" s="2" t="s">
        <v>8</v>
      </c>
      <c r="B108" s="1">
        <v>1</v>
      </c>
      <c r="C108" s="1"/>
      <c r="D108" s="1"/>
    </row>
    <row r="109" spans="1:5" x14ac:dyDescent="0.25">
      <c r="A109" s="2" t="s">
        <v>9</v>
      </c>
      <c r="B109" s="1">
        <v>1</v>
      </c>
      <c r="C109" s="1"/>
      <c r="D109" s="1"/>
    </row>
    <row r="110" spans="1:5" x14ac:dyDescent="0.25">
      <c r="A110" s="2"/>
      <c r="B110" s="1"/>
      <c r="C110" s="1"/>
      <c r="D110" s="1"/>
    </row>
    <row r="111" spans="1:5" x14ac:dyDescent="0.25">
      <c r="A111" s="2"/>
      <c r="B111" s="1"/>
      <c r="C111" s="1"/>
      <c r="D111" s="1"/>
    </row>
    <row r="112" spans="1:5" x14ac:dyDescent="0.25">
      <c r="A112" s="2"/>
      <c r="B112" s="1"/>
      <c r="C112" s="1"/>
      <c r="D112" s="1"/>
    </row>
    <row r="113" spans="1:4" x14ac:dyDescent="0.25">
      <c r="A113" s="2"/>
      <c r="B113" s="1"/>
      <c r="C113" s="1"/>
      <c r="D113" s="1"/>
    </row>
    <row r="114" spans="1:4" x14ac:dyDescent="0.25">
      <c r="A114" s="2"/>
      <c r="B114" s="1"/>
      <c r="C114" s="1"/>
      <c r="D114" s="1"/>
    </row>
    <row r="115" spans="1:4" x14ac:dyDescent="0.25">
      <c r="A115" s="2"/>
      <c r="B115" s="1"/>
      <c r="C115" s="1"/>
      <c r="D115" s="1"/>
    </row>
    <row r="116" spans="1:4" x14ac:dyDescent="0.25">
      <c r="A116" s="2"/>
      <c r="B116" s="1"/>
      <c r="C116" s="1"/>
      <c r="D116" s="1"/>
    </row>
    <row r="117" spans="1:4" x14ac:dyDescent="0.25">
      <c r="A117" s="2"/>
      <c r="B117" s="1"/>
      <c r="C117" s="1"/>
      <c r="D117" s="1"/>
    </row>
    <row r="118" spans="1:4" x14ac:dyDescent="0.25">
      <c r="A118" s="2"/>
      <c r="B118" s="1"/>
      <c r="C118" s="1"/>
      <c r="D118" s="1"/>
    </row>
    <row r="119" spans="1:4" x14ac:dyDescent="0.25">
      <c r="A119" s="2"/>
      <c r="B119" s="1"/>
      <c r="C119" s="1"/>
      <c r="D119" s="1"/>
    </row>
    <row r="120" spans="1:4" x14ac:dyDescent="0.25">
      <c r="A120" s="2"/>
      <c r="B120" s="1"/>
      <c r="C120" s="1"/>
      <c r="D120" s="1"/>
    </row>
    <row r="121" spans="1:4" x14ac:dyDescent="0.25">
      <c r="A121" s="2"/>
      <c r="B121" s="1"/>
      <c r="C121" s="1"/>
      <c r="D121" s="1"/>
    </row>
    <row r="122" spans="1:4" x14ac:dyDescent="0.25">
      <c r="A122" s="2"/>
      <c r="B122" s="1"/>
      <c r="C122" s="1"/>
      <c r="D122" s="1"/>
    </row>
    <row r="123" spans="1:4" x14ac:dyDescent="0.25">
      <c r="A123" s="2"/>
      <c r="B123" s="1"/>
      <c r="C123" s="1"/>
      <c r="D123" s="1"/>
    </row>
    <row r="124" spans="1:4" x14ac:dyDescent="0.25">
      <c r="A124" s="2"/>
      <c r="B124" s="1"/>
      <c r="C124" s="1"/>
      <c r="D124" s="1"/>
    </row>
    <row r="125" spans="1:4" x14ac:dyDescent="0.25">
      <c r="A125" s="2"/>
      <c r="B125" s="1"/>
      <c r="C125" s="1"/>
      <c r="D125" s="1"/>
    </row>
    <row r="126" spans="1:4" x14ac:dyDescent="0.25">
      <c r="A126" s="2"/>
      <c r="B126" s="1"/>
      <c r="C126" s="1"/>
      <c r="D126" s="1"/>
    </row>
    <row r="127" spans="1:4" x14ac:dyDescent="0.25">
      <c r="A127" s="2"/>
      <c r="B127" s="1"/>
      <c r="C127" s="1"/>
      <c r="D127" s="1"/>
    </row>
    <row r="128" spans="1:4" x14ac:dyDescent="0.25">
      <c r="A128" s="2"/>
      <c r="B128" s="1"/>
      <c r="C128" s="1"/>
      <c r="D128" s="1"/>
    </row>
    <row r="129" spans="1:4" x14ac:dyDescent="0.25">
      <c r="A129" s="2"/>
      <c r="B129" s="1"/>
      <c r="C129" s="1"/>
      <c r="D129" s="1"/>
    </row>
    <row r="130" spans="1:4" x14ac:dyDescent="0.25">
      <c r="A130" s="2"/>
      <c r="B130" s="1"/>
      <c r="C130" s="1"/>
      <c r="D130" s="1"/>
    </row>
    <row r="131" spans="1:4" x14ac:dyDescent="0.25">
      <c r="A131" s="2"/>
      <c r="B131" s="1"/>
      <c r="C131" s="1"/>
      <c r="D131" s="1"/>
    </row>
    <row r="132" spans="1:4" x14ac:dyDescent="0.25">
      <c r="A132" s="2"/>
      <c r="B132" s="1"/>
      <c r="C132" s="1"/>
      <c r="D132" s="1"/>
    </row>
    <row r="133" spans="1:4" x14ac:dyDescent="0.25">
      <c r="A133" s="2"/>
      <c r="B133" s="1"/>
      <c r="C133" s="1"/>
      <c r="D133" s="1"/>
    </row>
    <row r="134" spans="1:4" x14ac:dyDescent="0.25">
      <c r="A134" s="2"/>
      <c r="B134" s="1"/>
      <c r="C134" s="1"/>
      <c r="D134" s="1"/>
    </row>
    <row r="135" spans="1:4" x14ac:dyDescent="0.25">
      <c r="A135" s="2"/>
      <c r="B135" s="1"/>
      <c r="C135" s="1"/>
      <c r="D135" s="1"/>
    </row>
    <row r="136" spans="1:4" x14ac:dyDescent="0.25">
      <c r="A136" s="2"/>
      <c r="B136" s="1"/>
      <c r="C136" s="1"/>
      <c r="D136" s="1"/>
    </row>
    <row r="137" spans="1:4" x14ac:dyDescent="0.25">
      <c r="A137" s="2"/>
      <c r="B137" s="1"/>
      <c r="C137" s="1"/>
      <c r="D137" s="1"/>
    </row>
    <row r="138" spans="1:4" x14ac:dyDescent="0.25">
      <c r="A138" s="2"/>
      <c r="B138" s="1"/>
      <c r="C138" s="1"/>
      <c r="D138" s="1"/>
    </row>
    <row r="139" spans="1:4" x14ac:dyDescent="0.25">
      <c r="A139" s="2"/>
      <c r="B139" s="1"/>
      <c r="C139" s="1"/>
      <c r="D139" s="1"/>
    </row>
    <row r="140" spans="1:4" x14ac:dyDescent="0.25">
      <c r="A140" s="2"/>
      <c r="B140" s="1"/>
      <c r="C140" s="1"/>
      <c r="D140" s="1"/>
    </row>
    <row r="141" spans="1:4" x14ac:dyDescent="0.25">
      <c r="A141" s="2"/>
      <c r="B141" s="1"/>
      <c r="C141" s="1"/>
      <c r="D141" s="1"/>
    </row>
    <row r="142" spans="1:4" x14ac:dyDescent="0.25">
      <c r="A142" s="2"/>
      <c r="B142" s="1"/>
      <c r="C142" s="1"/>
      <c r="D142" s="1"/>
    </row>
    <row r="143" spans="1:4" x14ac:dyDescent="0.25">
      <c r="A143" s="2"/>
      <c r="B143" s="1"/>
      <c r="C143" s="1"/>
      <c r="D143" s="1"/>
    </row>
    <row r="144" spans="1:4" x14ac:dyDescent="0.25">
      <c r="A144" s="2"/>
      <c r="B144" s="1"/>
      <c r="C144" s="1"/>
      <c r="D144" s="1"/>
    </row>
    <row r="145" spans="1:4" x14ac:dyDescent="0.25">
      <c r="A145" s="2"/>
      <c r="B145" s="1"/>
      <c r="C145" s="1"/>
      <c r="D145" s="1"/>
    </row>
    <row r="146" spans="1:4" x14ac:dyDescent="0.25">
      <c r="A146" s="2"/>
      <c r="B146" s="1"/>
      <c r="C146" s="1"/>
      <c r="D146" s="1"/>
    </row>
    <row r="147" spans="1:4" x14ac:dyDescent="0.25">
      <c r="A147" s="2"/>
      <c r="B147" s="1"/>
      <c r="C147" s="1"/>
      <c r="D147" s="1"/>
    </row>
    <row r="148" spans="1:4" x14ac:dyDescent="0.25">
      <c r="A148" s="2"/>
      <c r="B148" s="1"/>
      <c r="C148" s="1"/>
      <c r="D148" s="1"/>
    </row>
    <row r="149" spans="1:4" x14ac:dyDescent="0.25">
      <c r="A149" s="2"/>
      <c r="B149" s="1"/>
      <c r="C149" s="1"/>
      <c r="D149" s="1"/>
    </row>
    <row r="150" spans="1:4" x14ac:dyDescent="0.25">
      <c r="A150" s="2"/>
      <c r="B150" s="1"/>
      <c r="C150" s="1"/>
      <c r="D150" s="1"/>
    </row>
    <row r="151" spans="1:4" x14ac:dyDescent="0.25">
      <c r="A151" s="2"/>
      <c r="B151" s="1"/>
      <c r="C151" s="1"/>
      <c r="D151" s="1"/>
    </row>
    <row r="152" spans="1:4" x14ac:dyDescent="0.25">
      <c r="A152" s="2"/>
      <c r="B152" s="1"/>
      <c r="C152" s="1"/>
      <c r="D152" s="1"/>
    </row>
    <row r="153" spans="1:4" x14ac:dyDescent="0.25">
      <c r="A153" s="2"/>
      <c r="B153" s="1"/>
      <c r="C153" s="1"/>
      <c r="D153" s="1"/>
    </row>
    <row r="154" spans="1:4" x14ac:dyDescent="0.25">
      <c r="A154" s="2"/>
      <c r="B154" s="1"/>
      <c r="C154" s="1"/>
      <c r="D154" s="1"/>
    </row>
    <row r="155" spans="1:4" x14ac:dyDescent="0.25">
      <c r="A155" s="2"/>
      <c r="B155" s="1"/>
      <c r="C155" s="1"/>
      <c r="D155" s="1"/>
    </row>
    <row r="156" spans="1:4" x14ac:dyDescent="0.25">
      <c r="A156" s="2"/>
      <c r="B156" s="1"/>
      <c r="C156" s="1"/>
      <c r="D156" s="1"/>
    </row>
    <row r="157" spans="1:4" x14ac:dyDescent="0.25">
      <c r="A157" s="2"/>
      <c r="B157" s="1"/>
      <c r="C157" s="1"/>
      <c r="D157" s="1"/>
    </row>
    <row r="158" spans="1:4" x14ac:dyDescent="0.25">
      <c r="A158" s="2"/>
      <c r="B158" s="1"/>
      <c r="C158" s="1"/>
      <c r="D158" s="1"/>
    </row>
    <row r="159" spans="1:4" x14ac:dyDescent="0.25">
      <c r="A159" s="2"/>
      <c r="B159" s="1"/>
      <c r="C159" s="1"/>
      <c r="D159" s="1"/>
    </row>
    <row r="160" spans="1:4" x14ac:dyDescent="0.25">
      <c r="A160" s="2"/>
      <c r="B160" s="1"/>
      <c r="C160" s="1"/>
      <c r="D160" s="1"/>
    </row>
    <row r="161" spans="1:4" x14ac:dyDescent="0.25">
      <c r="A161" s="2"/>
      <c r="B161" s="1"/>
      <c r="C161" s="1"/>
      <c r="D161" s="1"/>
    </row>
    <row r="162" spans="1:4" x14ac:dyDescent="0.25">
      <c r="A162" s="2"/>
      <c r="B162" s="1"/>
      <c r="C162" s="1"/>
      <c r="D162" s="1"/>
    </row>
    <row r="163" spans="1:4" x14ac:dyDescent="0.25">
      <c r="A163" s="2"/>
      <c r="B163" s="1"/>
      <c r="C163" s="1"/>
      <c r="D163" s="1"/>
    </row>
    <row r="164" spans="1:4" x14ac:dyDescent="0.25">
      <c r="A164" s="2"/>
      <c r="B164" s="1"/>
      <c r="C164" s="1"/>
      <c r="D164" s="1"/>
    </row>
    <row r="165" spans="1:4" x14ac:dyDescent="0.25">
      <c r="A165" s="2"/>
      <c r="B165" s="1"/>
      <c r="C165" s="1"/>
      <c r="D165" s="1"/>
    </row>
    <row r="166" spans="1:4" x14ac:dyDescent="0.25">
      <c r="A166" s="2"/>
      <c r="B166" s="1"/>
      <c r="C166" s="1"/>
      <c r="D166" s="1"/>
    </row>
    <row r="167" spans="1:4" x14ac:dyDescent="0.25">
      <c r="A167" s="2"/>
      <c r="B167" s="1"/>
      <c r="C167" s="1"/>
      <c r="D167" s="1"/>
    </row>
    <row r="168" spans="1:4" x14ac:dyDescent="0.25">
      <c r="A168" s="2"/>
      <c r="B168" s="1"/>
      <c r="C168" s="1"/>
      <c r="D168" s="1"/>
    </row>
    <row r="169" spans="1:4" x14ac:dyDescent="0.25">
      <c r="A169" s="2"/>
      <c r="B169" s="1"/>
      <c r="C169" s="1"/>
      <c r="D169" s="1"/>
    </row>
  </sheetData>
  <pageMargins left="0.7" right="0.7" top="0.75" bottom="0.75" header="0.3" footer="0.3"/>
  <pageSetup orientation="portrait" r:id="rId1"/>
  <ignoredErrors>
    <ignoredError sqref="F28:F29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Chapter 8 Generic Model</vt:lpstr>
      <vt:lpstr>OpenSolver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2013-04-18T22:19:44Z</dcterms:created>
  <dcterms:modified xsi:type="dcterms:W3CDTF">2014-07-08T16:14:46Z</dcterms:modified>
</cp:coreProperties>
</file>